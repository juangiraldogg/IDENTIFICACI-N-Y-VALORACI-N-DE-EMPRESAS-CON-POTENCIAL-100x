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<sst xmlns="http://schemas.openxmlformats.org/spreadsheetml/2006/main" count="490" uniqueCount="460">
  <si>
    <t>CADIZ (NASDAQ: CDZI) — Resumen Ejecutivo</t>
  </si>
  <si>
    <t>ESTADO DE RESULTADOS — el despegue de ATEC (miles $, jala de DATOS)</t>
  </si>
  <si>
    <t>BALANCE GENERAL — dic24 → jun25 (Q2) (miles $)</t>
  </si>
  <si>
    <t>Modelo profesional con 4 capas: 3 estados enlazados, DCF real, sensibilidad, comparables — con NAV/Suma de Partes como método principal (empresa de recursos de agua). Datos SEC hasta Q2 2025. Cifras en USD.</t>
  </si>
  <si>
    <t>CIFRAS CLAVE (de DATOS, miles $ salvo precio)</t>
  </si>
  <si>
    <t>CADIZ (CDZI) — HOJA DE DATOS CRUDOS (SEC 10-K / 10-Q). Cifras en MILES USD.</t>
  </si>
  <si>
    <t>Dos claves: (1) los activos de agua están A COSTO histórico, muy por debajo de su valor real; (2) la deuda es pesada. Verde = de DATOS.</t>
  </si>
  <si>
    <t>Lo clave: el segmento de filtración (ATEC) crece explosivamente y ya da margen positivo, mientras el gran negocio de agua sigue pre-ingreso. La pérdida persiste por G&amp;A del proyecto Mojave y el interés de la deuda.</t>
  </si>
  <si>
    <t>Precio de la acción CDZI</t>
  </si>
  <si>
    <t>Partida (miles $)</t>
  </si>
  <si>
    <t>ANUALES</t>
  </si>
  <si>
    <t>Dic-24</t>
  </si>
  <si>
    <t>Fuente única. Azul = de SEC. Demás hojas jalan con fórmulas. Edita SOLO aquí. Soluciones de agua en el sur de California. Pre-rentabilidad con activos de agua masivos y deuda pesada. El "primo agresivo" de Pure Cycle. FY = dic.</t>
  </si>
  <si>
    <t>Jun-25</t>
  </si>
  <si>
    <t>Comentario</t>
  </si>
  <si>
    <t>ACTIVOS</t>
  </si>
  <si>
    <t>Q2 (24→25)</t>
  </si>
  <si>
    <t>ANUALES (FY dic)</t>
  </si>
  <si>
    <t>~$3 (2025-26).</t>
  </si>
  <si>
    <t>Caja + restringida</t>
  </si>
  <si>
    <t>H1 (24→25)</t>
  </si>
  <si>
    <t>Ingresos TTM (miles $)</t>
  </si>
  <si>
    <t>Q2 (homólogo)</t>
  </si>
  <si>
    <t>Concepto (miles $)</t>
  </si>
  <si>
    <t>H1 / 6 meses</t>
  </si>
  <si>
    <t>FY23</t>
  </si>
  <si>
    <t>~$16.3M. Crece fuerte por ATEC (filtros).</t>
  </si>
  <si>
    <t>FY24</t>
  </si>
  <si>
    <t>Ingresos ATEC H1-25 (miles $)</t>
  </si>
  <si>
    <t>FY25</t>
  </si>
  <si>
    <t>Q2 24</t>
  </si>
  <si>
    <t>Q2 25</t>
  </si>
  <si>
    <t>Balance (cortes)</t>
  </si>
  <si>
    <t>Δ%</t>
  </si>
  <si>
    <t>H1 24</t>
  </si>
  <si>
    <t>H1 25</t>
  </si>
  <si>
    <t>De 648 a 6,084 en un año: el motor de crecimiento.</t>
  </si>
  <si>
    <t>INGRESOS TOTALES</t>
  </si>
  <si>
    <t>Caja + restringida (jun-25, miles $)</t>
  </si>
  <si>
    <t>FY2023</t>
  </si>
  <si>
    <t>FY2024</t>
  </si>
  <si>
    <t>~$16M. Corta frente a la quema.</t>
  </si>
  <si>
    <t>FY2025</t>
  </si>
  <si>
    <t>Deuda total (jun-25, miles $)</t>
  </si>
  <si>
    <t>Q2-24</t>
  </si>
  <si>
    <t>Q2-25</t>
  </si>
  <si>
    <t>H1-24</t>
  </si>
  <si>
    <t>H1-25</t>
  </si>
  <si>
    <t>~$16M. Baja por quema + capex Mojave.</t>
  </si>
  <si>
    <t>~$85M (deuda + lease Heerema). PESADA.</t>
  </si>
  <si>
    <t>Fuente / nota</t>
  </si>
  <si>
    <t>Patrimonio (jun-25, miles $)</t>
  </si>
  <si>
    <t xml:space="preserve">   Cuentas por cobrar</t>
  </si>
  <si>
    <t>ESTADO DE RESULTADOS</t>
  </si>
  <si>
    <t>~$36M. Delgado y apalancado.</t>
  </si>
  <si>
    <t>Derechos de agua (acre-pies)</t>
  </si>
  <si>
    <t xml:space="preserve">   Inventarios (filtros ATEC)</t>
  </si>
  <si>
    <t>2.5M AF + 1M almacenamiento. El activo central.</t>
  </si>
  <si>
    <t>NOL fiscal federal (miles $)</t>
  </si>
  <si>
    <t>$368M: escudo fiscal para ganancias futuras.</t>
  </si>
  <si>
    <t>Total activo corriente</t>
  </si>
  <si>
    <t>VEREDICTO</t>
  </si>
  <si>
    <t>Tipo de inversión</t>
  </si>
  <si>
    <t>Activos de agua (NAV)</t>
  </si>
  <si>
    <t>PP&amp;E + programas de agua</t>
  </si>
  <si>
    <t>El valor está en los derechos de agua, no en los flujos actuales.</t>
  </si>
  <si>
    <t>FY25 ~16.3M TTM. Crece fuerte por ATEC (filtros).</t>
  </si>
  <si>
    <t>Negocio hoy</t>
  </si>
  <si>
    <t>Pre-rentabilidad dual</t>
  </si>
  <si>
    <t>ATEC (filtros) ya despega; el gran negocio de agua aún es pre-ingreso.</t>
  </si>
  <si>
    <t xml:space="preserve">  Land &amp; Water Resources (agua+agro)</t>
  </si>
  <si>
    <t>Balance</t>
  </si>
  <si>
    <t>Apalancado</t>
  </si>
  <si>
    <t>Agua/agro. El gran negocio aún es pre-ingreso.</t>
  </si>
  <si>
    <t>Deuda pesada (~$85M) + preferentes ($57.5M). El gran riesgo.</t>
  </si>
  <si>
    <t xml:space="preserve">  Water Filtration (ATEC)</t>
  </si>
  <si>
    <t>El gran potencial</t>
  </si>
  <si>
    <t>A COSTO histórico (~$92M): NO refleja el valor real del agua.</t>
  </si>
  <si>
    <t>Mojave Water Bank</t>
  </si>
  <si>
    <t>ATEC: de 163 a 3,695 en un año. El motor de crecimiento.</t>
  </si>
  <si>
    <t>2.5M AF de agua + contratos take-or-pay firmados. Necesita ~$800M.</t>
  </si>
  <si>
    <t>Valoración</t>
  </si>
  <si>
    <t>Costo de ventas</t>
  </si>
  <si>
    <t>NAV ($5.81) &gt; precio ($3)</t>
  </si>
  <si>
    <t>Posible infravaloración, pero depende del valor del agua.</t>
  </si>
  <si>
    <t>Riesgo/premio</t>
  </si>
  <si>
    <t>Cost of sales.</t>
  </si>
  <si>
    <t>Alto/asimétrico</t>
  </si>
  <si>
    <t>Deuda + ejecución (Mojave) + Heerema concentrado (31.4%).</t>
  </si>
  <si>
    <t>UTILIDAD BRUTA</t>
  </si>
  <si>
    <t>COMPARACIÓN DEL PORTAFOLIO (9 empresas)</t>
  </si>
  <si>
    <t xml:space="preserve">     Land &amp; Water (agua + agro)</t>
  </si>
  <si>
    <t>Goodwill + otros</t>
  </si>
  <si>
    <t>LEU (Centrus)</t>
  </si>
  <si>
    <t>Bruto positivo ya en 2025 (ATEC margen +44%).</t>
  </si>
  <si>
    <t>Gastos generales y admin</t>
  </si>
  <si>
    <t>Rentable · enriquecimiento</t>
  </si>
  <si>
    <t>G&amp;A. Alto: desarrollo del Mojave + stock comp.</t>
  </si>
  <si>
    <t>De ATEC.</t>
  </si>
  <si>
    <t>El más maduro; precio justificado por fundamentales.</t>
  </si>
  <si>
    <t>PÉRDIDA OPERATIVA</t>
  </si>
  <si>
    <t>HSAI (Hesai)</t>
  </si>
  <si>
    <t>TOTAL ACTIVOS</t>
  </si>
  <si>
    <t>Crecimiento rentable · LiDAR</t>
  </si>
  <si>
    <t>Recién rentable, crecimiento explosivo. Riesgo China.</t>
  </si>
  <si>
    <t>MP (MP Materials)</t>
  </si>
  <si>
    <t>Cruzando breakeven · imanes</t>
  </si>
  <si>
    <t>La pérdida "real" del negocio.</t>
  </si>
  <si>
    <t>EBITDA+; prima estratégica. Gemelo maduro de USAR.</t>
  </si>
  <si>
    <t>PCYO (Pure Cycle)</t>
  </si>
  <si>
    <t>Gasto por intereses, neto</t>
  </si>
  <si>
    <t>Rentable · agua</t>
  </si>
  <si>
    <t>Compounder lento; opción sobre derechos de agua. SIN deuda.</t>
  </si>
  <si>
    <t>UUUU (Energy Fuels)</t>
  </si>
  <si>
    <t>Pierde dinero · opción REE</t>
  </si>
  <si>
    <t>Especulativo; se valora por NAV.</t>
  </si>
  <si>
    <t>Deuda Heerema (7%, parte PIK). Pesado.</t>
  </si>
  <si>
    <t>ASPI (ASP Isotopes)</t>
  </si>
  <si>
    <t>Desarrollo · isótopos/nuclear</t>
  </si>
  <si>
    <t>PASIVOS Y PATRIMONIO</t>
  </si>
  <si>
    <t>Muy temprano, opción pura. Balance fuerte.</t>
  </si>
  <si>
    <t>PÉRDIDA NETA</t>
  </si>
  <si>
    <t>USAR (USA Rare Earth)</t>
  </si>
  <si>
    <t>Construcción · imanes REE</t>
  </si>
  <si>
    <t>Opción a gran escala. Balance descomunal ($1.5B).</t>
  </si>
  <si>
    <t xml:space="preserve">   Pasivos operativos + diferidos</t>
  </si>
  <si>
    <t>BLGO (BioLargo)</t>
  </si>
  <si>
    <t>Incubadora · cleantech</t>
  </si>
  <si>
    <t>La más pequeña y frágil. Balance débil.</t>
  </si>
  <si>
    <t>FY25 TTM ~−39M. Grande frente a ingresos.</t>
  </si>
  <si>
    <t>CDZI (Cadiz)</t>
  </si>
  <si>
    <t>Agua apalancada · NAV</t>
  </si>
  <si>
    <t>Dividendo preferentes (Serie A 8.875%)</t>
  </si>
  <si>
    <t>Primo agresivo de PCYO: agua valiosa, pero con deuda pesada.</t>
  </si>
  <si>
    <t>GUÍA DE HOJAS: DATOS (fuente+drivers) · Estado Resultados · Balance · Análisis Financiero · Proyecciones (3 estados enlazados) · Valoración (NAV+WACC+DCF) · Sensibilidad · Comparables.</t>
  </si>
  <si>
    <t>Pref CDZIP: $2.22/año por acción depositaria.</t>
  </si>
  <si>
    <t>Pérdida neta atribuible a comunes</t>
  </si>
  <si>
    <t>Deuda de largo plazo</t>
  </si>
  <si>
    <t>DESCARGO: material educativo, no asesoría financiera. Empresa de recursos apalancada: riesgo alto por deuda y ejecución. Verifica en SEC EDGAR.</t>
  </si>
  <si>
    <t>Tras dividendo preferente.</t>
  </si>
  <si>
    <t>EPS (US$)</t>
  </si>
  <si>
    <t>Heerema 7% (convertible + no conv).</t>
  </si>
  <si>
    <t>Lease LP con parte relacionada</t>
  </si>
  <si>
    <t>Loss per common share.</t>
  </si>
  <si>
    <t>Acciones comunes (M)</t>
  </si>
  <si>
    <t>Heerema. Cuasi-deuda.</t>
  </si>
  <si>
    <t>TOTAL PASIVOS</t>
  </si>
  <si>
    <t>~82M a ago-2025. Heerema tiene 31.4%.</t>
  </si>
  <si>
    <t xml:space="preserve">     Water Filtration (ATEC)</t>
  </si>
  <si>
    <t>BALANCE GENERAL (fin de periodo)</t>
  </si>
  <si>
    <t>Caja y equivalentes</t>
  </si>
  <si>
    <t>PESADO: ~$101M frente a $136M de activos a costo.</t>
  </si>
  <si>
    <t>PATRIMONIO (total)</t>
  </si>
  <si>
    <t>Caja. Baja: quema + capex Mojave.</t>
  </si>
  <si>
    <t>Caja restringida (LP)</t>
  </si>
  <si>
    <t>Colateral (bono Northern Pipeline).</t>
  </si>
  <si>
    <t>Cuentas por cobrar</t>
  </si>
  <si>
    <t>Accounts receivable.</t>
  </si>
  <si>
    <t>Inventarios</t>
  </si>
  <si>
    <t>Inventories (filtros ATEC).</t>
  </si>
  <si>
    <t>Delgado: ~$36M (incluye preferentes).</t>
  </si>
  <si>
    <t>MÉTRICAS</t>
  </si>
  <si>
    <t>Current assets.</t>
  </si>
  <si>
    <t>PP&amp;E + programas de agua, neto</t>
  </si>
  <si>
    <t>Deuda total / Patrimonio</t>
  </si>
  <si>
    <t>Tierra + tubería + programas de agua. A COSTO histórico.</t>
  </si>
  <si>
    <t>Goodwill</t>
  </si>
  <si>
    <t>De la adquisición de ATEC.</t>
  </si>
  <si>
    <t>Otros activos (ROU, depósitos)</t>
  </si>
  <si>
    <t>Right-of-use + otros.</t>
  </si>
  <si>
    <t>Total assets. A costo, NO refleja valor del agua.</t>
  </si>
  <si>
    <t>Cuentas por pagar y acumulados</t>
  </si>
  <si>
    <t>AP + accrued + dividendo por pagar.</t>
  </si>
  <si>
    <t>Ingreso diferido</t>
  </si>
  <si>
    <t>ALTA: &gt;2x. Apalancamiento elevado.</t>
  </si>
  <si>
    <t>Anticipos Mojave + ATEC.</t>
  </si>
  <si>
    <t>Total pasivo corriente</t>
  </si>
  <si>
    <t>Razón corriente</t>
  </si>
  <si>
    <t>Current liabilities.</t>
  </si>
  <si>
    <t>Deuda de largo plazo, neta</t>
  </si>
  <si>
    <t>Deuda Heerema (7%, convertible+no conv).</t>
  </si>
  <si>
    <t>Lease Heerema. Trata como cuasi-deuda.</t>
  </si>
  <si>
    <t>Total liab. PESADO frente al patrimonio.</t>
  </si>
  <si>
    <t>Stockholders' equity. Incluye preferentes.</t>
  </si>
  <si>
    <t>Deuda total (deuda + lease relacionado)</t>
  </si>
  <si>
    <t>Para WACC/puente: deuda LP + lease Heerema.</t>
  </si>
  <si>
    <t>FLUJO DE CAJA (H1 / semestral)</t>
  </si>
  <si>
    <t>Aceptable, sin holgura.</t>
  </si>
  <si>
    <t>Flujo de caja operativo (H1)</t>
  </si>
  <si>
    <t>Caja / Deuda total</t>
  </si>
  <si>
    <t>Quema operativa H1-25: −5M (mejora vs −9.9M).</t>
  </si>
  <si>
    <t>CapEx + depósitos (H1)</t>
  </si>
  <si>
    <t>Sube fuerte: capex Mojave + opciones de compra.</t>
  </si>
  <si>
    <t>MERCADO Y OPERATIVO (editable)</t>
  </si>
  <si>
    <t>Precio de la acción CDZI (US$)</t>
  </si>
  <si>
    <t>ACTUALIZAR. ~$3 (2025-26).</t>
  </si>
  <si>
    <t>Baja: la caja no cubre ni 1/5 de la deuda.</t>
  </si>
  <si>
    <t>Patrimonio / Activos</t>
  </si>
  <si>
    <t>2.5M acre-pies de derechos + 1M almacenamiento.</t>
  </si>
  <si>
    <t>Contratado (AFY, take-or-pay)</t>
  </si>
  <si>
    <t>85% del Northern Pipeline. ~$850/AF, 40 años.</t>
  </si>
  <si>
    <t>NOL fiscal federal ($ miles)</t>
  </si>
  <si>
    <t>Pérdidas acumuladas: escudo fiscal futuro valioso.</t>
  </si>
  <si>
    <t>NAV — valor de los activos de agua ($ miles, editable)</t>
  </si>
  <si>
    <t>Bajo: muy apalancada.</t>
  </si>
  <si>
    <t>Valor derechos de agua (suministro)</t>
  </si>
  <si>
    <t>2.5M AF; valor conservador ~$120/AF implícito. EDITA.</t>
  </si>
  <si>
    <t>Valor capacidad de almacenamiento</t>
  </si>
  <si>
    <t>Lectura: el balance de Cadiz esconde su verdadera historia, y por partida doble. Por el lado de los activos, sus tierras y programas de agua figuran a costo histórico (~$92M), una cifra que no tiene nada que ver con lo que valen realmente 2.5 millones de acre-pies de derechos de agua en el sur de California, una de las regiones con mayor estrés hídrico del país. Ese es el "activo oculto" que justifica valorar la empresa por NAV y no por su balance contable. Pero por el lado de los pasivos hay una advertencia igual de importante: Cadiz está fuertemente endeudada (~$85M entre deuda y lease con Heerema, su acreedor-accionista que controla el 31.4%), y su patrimonio es delgado. Además necesitará ~$800M para construir el Mojave. En una palabra: activos potencialmente muy valiosos, pero un balance apalancado y dependiente de financiación externa. El agua vale mucho; la deuda pesa mucho.</t>
  </si>
  <si>
    <t>1M AF de banco de agua. EDITA.</t>
  </si>
  <si>
    <t>Valor infraestructura (tuberías)</t>
  </si>
  <si>
    <t>220 millas Northern + derecho Southern. EDITA.</t>
  </si>
  <si>
    <t>Valor del negocio ATEC (filtración)</t>
  </si>
  <si>
    <t>Segmento en crecimiento, margen +44%. EDITA.</t>
  </si>
  <si>
    <t>SUPUESTOS DE VALORACIÓN (editable)</t>
  </si>
  <si>
    <t>Tasa libre de riesgo</t>
  </si>
  <si>
    <t>ANÁLISIS FINANCIERO — activos de agua, apalancamiento y supervivencia</t>
  </si>
  <si>
    <t>~4.3%.</t>
  </si>
  <si>
    <t>Prima de riesgo de mercado</t>
  </si>
  <si>
    <t>ERP USA.</t>
  </si>
  <si>
    <t>Beta desapalancado</t>
  </si>
  <si>
    <t>Los ratios de rentabilidad no aplican (pierde). El foco: el valor de los activos de agua, el peso de la deuda, y la pista de liquidez. Metodología Celsia adaptada a una empresa de recursos con deuda.</t>
  </si>
  <si>
    <t>Agua = defensivo, pero pre-rentabilidad. EDITA.</t>
  </si>
  <si>
    <t>Indicador</t>
  </si>
  <si>
    <t>Tasa impositiva</t>
  </si>
  <si>
    <t>Dic-2024</t>
  </si>
  <si>
    <t>USA ~21% (mitigada por NOL).</t>
  </si>
  <si>
    <t>Jun-2025</t>
  </si>
  <si>
    <t>Interpretación</t>
  </si>
  <si>
    <t>Costo de la deuda</t>
  </si>
  <si>
    <t>1 · EL ACTIVO CENTRAL: EL AGUA</t>
  </si>
  <si>
    <t>Deuda Heerema 7% + riesgo. ~9%.</t>
  </si>
  <si>
    <t>Margen EBIT terminal</t>
  </si>
  <si>
    <t>Agua contratada = altos márgenes a escala. EDITA.</t>
  </si>
  <si>
    <t>CADIZ es una empresa de AGUA de California: su valor esta en 2.5M acre-pies de derechos de agua + almacenamiento + tuberia, NO en sus flujos actuales.</t>
  </si>
  <si>
    <t>Es el "primo agresivo" de Pure Cycle (PCYO): mismo tema, pero pre-rentabilidad y con DEUDA PESADA (~$85M incl. lease Heerema).</t>
  </si>
  <si>
    <t>DOS palancas: (1) el gran proyecto Mojave Groundwater Bank (~$800M capex, ya con contratos take-or-pay y MOU con EPCOR); (2) ATEC (filtros), que crece rapido.</t>
  </si>
  <si>
    <t>Los activos de agua estan en libros A COSTO HISTORICO (~$92M PP&amp;E), MUY por debajo de su valor potencial. Por eso se valora por NAV/suma de partes.</t>
  </si>
  <si>
    <t>RIESGO clave: DEUDA. Heerema es acreedor-accionista (31.4% + deuda convertible 7% PIK). Concentracion y dilucion. Necesita ~$800M para el Mojave.</t>
  </si>
  <si>
    <t>2.5M AF: el corazón del valor. Recurso escaso.</t>
  </si>
  <si>
    <t>ACTIVO OCULTO: NOL fiscal de $368M federal — escudo que hara que las futuras ganancias paguen poco impuesto.</t>
  </si>
  <si>
    <t>Contratado take-or-pay (AFY)</t>
  </si>
  <si>
    <t>Preferentes CDZIP (Serie A 8.875%): consumen ~$5M/año en dividendos. Redimibles desde jul-2026. Son cuasi-deuda senior a las comunes.</t>
  </si>
  <si>
    <t>21,275 AFY ya vendidos a ~$850/AF por 40 años.</t>
  </si>
  <si>
    <t>DRIVERS DE PROYECCIÓN (editables) — ATEC crece + arranca el agua contratada</t>
  </si>
  <si>
    <t>PP&amp;E en libros (miles $)</t>
  </si>
  <si>
    <t>Ingresos base FY2025 (miles $)</t>
  </si>
  <si>
    <t>TTM. ATEC + agro. Punto de partida.</t>
  </si>
  <si>
    <t>Crecim. ingresos año 1</t>
  </si>
  <si>
    <t>A costo: subestima enormemente el valor real.</t>
  </si>
  <si>
    <t>2 · APALANCAMIENTO (el gran riesgo)</t>
  </si>
  <si>
    <t>Deuda total (miles $)</t>
  </si>
  <si>
    <t>ATEC sigue creciendo fuerte.</t>
  </si>
  <si>
    <t>Crecim. ingresos año 2</t>
  </si>
  <si>
    <t xml:space="preserve">   Gasto por intereses, neto</t>
  </si>
  <si>
    <t>ATEC + primeras entregas de agua (Northern Pipeline).</t>
  </si>
  <si>
    <t>Crecim. ingresos año 3</t>
  </si>
  <si>
    <t>Agua contratada (21,275 AFY) empieza a fluir.</t>
  </si>
  <si>
    <t>Crecim. ingresos año 4</t>
  </si>
  <si>
    <t>Deuda + lease Heerema. Pesada.</t>
  </si>
  <si>
    <t>Deuda / Patrimonio</t>
  </si>
  <si>
    <t>Rampa del agua + Mojave.</t>
  </si>
  <si>
    <t>Crecim. ingresos año 5</t>
  </si>
  <si>
    <t>Maduración; agua a volumen.</t>
  </si>
  <si>
    <t>Margen EBIT año 1</t>
  </si>
  <si>
    <t>Aún negativo: G&amp;A del Mojave + ATEC en escala.</t>
  </si>
  <si>
    <t>Margen EBIT año 2</t>
  </si>
  <si>
    <t>Se reduce con más ingresos.</t>
  </si>
  <si>
    <t>Margen EBIT año 3</t>
  </si>
  <si>
    <t>CRUCE: el agua (alto margen) empieza a pesar.</t>
  </si>
  <si>
    <t>Margen EBIT año 4</t>
  </si>
  <si>
    <t>&gt;2x: muy apalancada para una empresa que pierde.</t>
  </si>
  <si>
    <t>Interés anual (miles $)</t>
  </si>
  <si>
    <t>Agua contratada = altos márgenes.</t>
  </si>
  <si>
    <t>Margen EBIT año 5</t>
  </si>
  <si>
    <t>Agua a volumen: márgenes altos.</t>
  </si>
  <si>
    <t>Agua = negocio de altísimo margen a escala.</t>
  </si>
  <si>
    <t>Depreciación como % ventas</t>
  </si>
  <si>
    <t>Infraestructura de agua.</t>
  </si>
  <si>
    <t>~$8M/año. Consume caja y parte es PIK (crece).</t>
  </si>
  <si>
    <t>CapEx como % ventas</t>
  </si>
  <si>
    <t>Dividendo preferente anual (miles $)</t>
  </si>
  <si>
    <t>Alto: construir el Mojave (financiado aparte, MWI).</t>
  </si>
  <si>
    <t>Working capital como % ventas</t>
  </si>
  <si>
    <t>CxC + inventario ATEC.</t>
  </si>
  <si>
    <t>Interés sobre deuda (anual)</t>
  </si>
  <si>
    <t>~$5M/año a las preferentes (CDZIP). Senior a comunes.</t>
  </si>
  <si>
    <t>Deuda Heerema ~7-9%. Sobre la deuda del año previo.</t>
  </si>
  <si>
    <t>3 · SUPERVIVENCIA Y LIQUIDEZ</t>
  </si>
  <si>
    <t>Caja + restringida (miles $)</t>
  </si>
  <si>
    <t>~$16M. Reforzada con emisiones de acciones.</t>
  </si>
  <si>
    <t>Quema operativa anual (miles $)</t>
  </si>
  <si>
    <t>~$10M/año. Mejora al crecer ATEC.</t>
  </si>
  <si>
    <t>Pista de liquidez (meses)</t>
  </si>
  <si>
    <t xml:space="preserve">     Dividendo preferentes</t>
  </si>
  <si>
    <t>Corta: depende de seguir levantando capital/deuda.</t>
  </si>
  <si>
    <t>4 · ACTIVO OCULTO</t>
  </si>
  <si>
    <t>$368M de pérdidas: escudo fiscal para futuras ganancias.</t>
  </si>
  <si>
    <t>Ingresos ATEC (H1, miles $)</t>
  </si>
  <si>
    <t>El segmento que ya funciona y crece rápido.</t>
  </si>
  <si>
    <t>Diagnóstico: Cadiz es, en esencia, una gran apuesta al valor del agua en el suroeste de Estados Unidos, envuelta en un balance apalancado. Lo que hay que sopesar son tres cosas a la vez. Primero, el activo: 2.5 millones de acre-pies de derechos de agua y capacidad de almacenamiento en una región sedienta, con contratos take-or-pay ya firmados que validan la demanda — un valor que el balance contable esconde por completo. Segundo, el riesgo financiero: la deuda es pesada (~$85M), el interés y los dividendos preferentes consumen ~$13M al año, y el proyecto estrella (Mojave) necesita ~$800M que aún no están asegurados. Tercero, la señal positiva: el negocio de filtros ATEC ya despegó y crece rápido, dando ingresos reales mientras el agua madura, y hay un NOL fiscal de $368M que hará que las futuras ganancias tributen poco. El veredicto financiero: no se valora por sus flujos actuales, sino por la suma de sus activos de agua menos su deuda — con la ejecución del Mojave y el manejo del apalancamiento como las grandes incógnitas.</t>
  </si>
  <si>
    <t>Lectura: aquí hay dos historias en un solo estado. La primera es el despegue de ATEC, el negocio de filtros de agua: sus ingresos pasaron de $163 mil a $3.7 millones en un solo trimestre (de 4 filtros enviados a 115), y ya genera margen bruto positivo del ~44%. Esa es la señal de que la parte "comercial" de Cadiz está encontrando tracción real. La segunda historia es que el gran negocio —los derechos de agua y el proyecto Mojave Groundwater Bank— sigue siendo pre-ingreso: genera casi nada hoy porque el proyecto aún se está financiando y construyendo. Por eso, pese al crecimiento de ATEC, la empresa sigue perdiendo dinero: los gastos de desarrollar el Mojave (honorarios legales, ingeniería) y el interés de su deuda pesan más que los ingresos actuales. En resumen: el motor pequeño (ATEC) ya arrancó; el motor grande (el agua) todavía no.</t>
  </si>
  <si>
    <t>MODELO DE TRES ESTADOS PROYECTADOS Y ENLAZADOS (5 años) — Cadiz (miles $)</t>
  </si>
  <si>
    <t>Rampa dual: ATEC crece + arranca el agua contratada. El margen cruza a positivo (año 3) cuando el agua de alto margen fluye. A diferencia de otras opciones, aquí la DEUDA es real: el interés se modela explícitamente. DESCUADRE verifica el cuadre (=0).</t>
  </si>
  <si>
    <t>Base FY25</t>
  </si>
  <si>
    <t>Año 1</t>
  </si>
  <si>
    <t>Año 2</t>
  </si>
  <si>
    <t>Año 3</t>
  </si>
  <si>
    <t>Año 4</t>
  </si>
  <si>
    <t>Año 5</t>
  </si>
  <si>
    <t>Notas / enlace</t>
  </si>
  <si>
    <t>1 · ESTADO DE RESULTADOS</t>
  </si>
  <si>
    <t>Ingresos</t>
  </si>
  <si>
    <t>ATEC + agro + agua contratada entrando.</t>
  </si>
  <si>
    <t xml:space="preserve">  Crecimiento %</t>
  </si>
  <si>
    <t>Ingreso operativo (EBIT)</t>
  </si>
  <si>
    <t>Ventas × margen EBIT (negativo hasta año 3).</t>
  </si>
  <si>
    <t xml:space="preserve">  Margen EBIT %</t>
  </si>
  <si>
    <t>VALORACIÓN — NAV / Suma de Partes (principal) · WACC · DCF</t>
  </si>
  <si>
    <t>De −55% a +35%. Cruza a positivo en el año 3.</t>
  </si>
  <si>
    <t xml:space="preserve">   (−) Gasto por intereses</t>
  </si>
  <si>
    <t>El valor de Cadiz está en sus activos de agua (a costo en libros), no en sus flujos actuales. Método principal: NAV = activos de agua − deuda. Amarillo=editable. Cifras internas en miles $.</t>
  </si>
  <si>
    <t>1 · NAV / SUMA DE PARTES (método principal)</t>
  </si>
  <si>
    <t>Activo / componente</t>
  </si>
  <si>
    <t>Valor (miles $)</t>
  </si>
  <si>
    <t>Qué es y por qué vale eso</t>
  </si>
  <si>
    <t>Derechos de agua (suministro)</t>
  </si>
  <si>
    <t>Sobre la deuda del año anterior. Real y pesado.</t>
  </si>
  <si>
    <t>Utilidad antes de impuestos</t>
  </si>
  <si>
    <t>2.5M acre-pies. Recurso escaso en California. El activo central.</t>
  </si>
  <si>
    <t>Capacidad de almacenamiento</t>
  </si>
  <si>
    <t>1M acre-pies de banco de agua (Mojave).</t>
  </si>
  <si>
    <t xml:space="preserve">   (−) Impuestos (mitigado por NOL)</t>
  </si>
  <si>
    <t>Infraestructura (tuberías)</t>
  </si>
  <si>
    <t>220 millas Northern + derecho de Southern Pipeline.</t>
  </si>
  <si>
    <t>Negocio ATEC (filtración)</t>
  </si>
  <si>
    <t>Segmento en crecimiento, margen +44%. Ya funciona.</t>
  </si>
  <si>
    <t>(+) Escudo fiscal NOL (20% de $368M)</t>
  </si>
  <si>
    <t>Valor del ahorro fiscal futuro (estimación conservadora).</t>
  </si>
  <si>
    <t>(+) Caja − (−) Deuda total (miles $)</t>
  </si>
  <si>
    <t>Puente a equity. NEGATIVO: la deuda supera la caja (el gran lastre).</t>
  </si>
  <si>
    <t>(−) Preferentes (valor de liquidación)</t>
  </si>
  <si>
    <t>2,300 pref × $25k liq = $57.5M. Senior a las comunes.</t>
  </si>
  <si>
    <t>NAV para comunes (miles $)</t>
  </si>
  <si>
    <t>Solo 20% de la tasa: el NOL de $368M escuda casi todo.</t>
  </si>
  <si>
    <t>UTILIDAD (PÉRDIDA) NETA</t>
  </si>
  <si>
    <t>NAV por acción común ($)</t>
  </si>
  <si>
    <t>2 · COSTO DE CAPITAL (WACC vía CAPM)</t>
  </si>
  <si>
    <t>Tasa libre de riesgo (Rf)</t>
  </si>
  <si>
    <t>2 · BALANCE GENERAL</t>
  </si>
  <si>
    <t>De DATOS.</t>
  </si>
  <si>
    <t>Prima de riesgo (ERP)</t>
  </si>
  <si>
    <t>Beta desapalancado (βu)</t>
  </si>
  <si>
    <t>Agua = defensivo. De DATOS.</t>
  </si>
  <si>
    <t>Valor de mercado del equity (miles $)</t>
  </si>
  <si>
    <t>← Caja final del Flujo.</t>
  </si>
  <si>
    <t>Precio × ~82M acciones.</t>
  </si>
  <si>
    <t>Valor de la deuda (miles $)</t>
  </si>
  <si>
    <t>Peso deuda D/(D+E)</t>
  </si>
  <si>
    <t>Alto: muy apalancada.</t>
  </si>
  <si>
    <t>Peso equity E/(D+E)</t>
  </si>
  <si>
    <t>Ratio CxC/ventas.</t>
  </si>
  <si>
    <t xml:space="preserve">   Inventarios</t>
  </si>
  <si>
    <t>Tasa impositiva (t)</t>
  </si>
  <si>
    <t>Beta apalancado (βL, Hamada)</t>
  </si>
  <si>
    <t>βu×(1+(1−t)×D/E). Alto por la deuda.</t>
  </si>
  <si>
    <t>Costo del equity (Ke=CAPM)</t>
  </si>
  <si>
    <t>Ratio inventario/ventas.</t>
  </si>
  <si>
    <t>Rf+βL×ERP.</t>
  </si>
  <si>
    <t>Costo de la deuda (Kd)</t>
  </si>
  <si>
    <t>WACC</t>
  </si>
  <si>
    <t>We×Ke+Wd×Kd(1−t).</t>
  </si>
  <si>
    <t>+ CapEx − depreciación (infraestructura de agua).</t>
  </si>
  <si>
    <t>3 · DCF (secundario, valida la senda operativa)</t>
  </si>
  <si>
    <t>Otros activos (goodwill, resto)</t>
  </si>
  <si>
    <t>Año</t>
  </si>
  <si>
    <t>FCF (miles $)</t>
  </si>
  <si>
    <t>VP (miles $)</t>
  </si>
  <si>
    <t>FCF de Proyecciones. Negativo al inicio (invierte en agua).</t>
  </si>
  <si>
    <t>Resto constante.</t>
  </si>
  <si>
    <t xml:space="preserve">   Pasivos operativos</t>
  </si>
  <si>
    <t>FCF terminal normalizado (miles $)</t>
  </si>
  <si>
    <t>Ratio pasivos oper./ventas.</t>
  </si>
  <si>
    <t>Ventas año5 × margen terminal × (casi sin impuesto por NOL).</t>
  </si>
  <si>
    <t>Valor terminal (Gordon, g=3%)</t>
  </si>
  <si>
    <t>Deuda + financiación (plug)</t>
  </si>
  <si>
    <t>g perpetuo 3% (agua: demanda estructural creciente).</t>
  </si>
  <si>
    <t>Valor patrimonio — DCF (miles $)</t>
  </si>
  <si>
    <t>PLUG: deuda/capital que necesita para cuadrar.</t>
  </si>
  <si>
    <t>Menos deuda y preferentes.</t>
  </si>
  <si>
    <t>Valor por acción — DCF ($)</t>
  </si>
  <si>
    <t>PATRIMONIO</t>
  </si>
  <si>
    <t>4 · SÍNTESIS</t>
  </si>
  <si>
    <t>Valor/acción — NAV (principal) ($)</t>
  </si>
  <si>
    <t>Previo + utilidad (o − pérdida).</t>
  </si>
  <si>
    <t>TOTAL PASIVO + PATRIMONIO</t>
  </si>
  <si>
    <t>Valor de los activos de agua − deuda − preferentes.</t>
  </si>
  <si>
    <t>Valor/acción — DCF ($)</t>
  </si>
  <si>
    <t>Si la rampa de agua contratada se cumple.</t>
  </si>
  <si>
    <t>Precio de mercado ($)</t>
  </si>
  <si>
    <t>DESCUADRE (Activo − Pas − Patr)</t>
  </si>
  <si>
    <t>Margen de seguridad (vs NAV / vs DCF)</t>
  </si>
  <si>
    <t>DEBE SER 0.</t>
  </si>
  <si>
    <t>3 · FLUJO DE CAJA</t>
  </si>
  <si>
    <t>Positivo = infravalorada por ese método.</t>
  </si>
  <si>
    <t>Utilidad (pérdida) neta</t>
  </si>
  <si>
    <t>ADVERTENCIA: Cadiz es una apuesta al valor del agua en California, apalancada. El NAV depende por completo de cuánto valgan realmente sus derechos de agua (los valores por componente son estimaciones editables). Dos riesgos dominan: (1) la DEUDA — ~$85M más las preferentes ($57.5M) son senior a las acciones comunes y consumen ~$13M/año en interés y dividendos; (2) la EJECUCIÓN — el proyecto Mojave necesita ~$800M que aún no están asegurados, y depende de un acreedor-accionista concentrado (Heerema, 31.4%). El NOL de $368M es un activo real que protege ganancias futuras. Ajusta los valores del agua según tu propio criterio; el rango de resultados es amplio.</t>
  </si>
  <si>
    <t>← Resultados.</t>
  </si>
  <si>
    <t xml:space="preserve">   (+) Depreciación</t>
  </si>
  <si>
    <t>No-caja.</t>
  </si>
  <si>
    <t xml:space="preserve">   (−) Δ Capital de trabajo</t>
  </si>
  <si>
    <t>Sobre crecimiento de ventas.</t>
  </si>
  <si>
    <t>Flujo de caja operativo</t>
  </si>
  <si>
    <t xml:space="preserve">   (−) CapEx</t>
  </si>
  <si>
    <t>Infraestructura (el Mojave se financia aparte vía MWI).</t>
  </si>
  <si>
    <t>Flujo de caja libre (FCF)</t>
  </si>
  <si>
    <t>OCF − CapEx. Alimenta el DCF. Negativo al inicio.</t>
  </si>
  <si>
    <t xml:space="preserve">   Caja inicial</t>
  </si>
  <si>
    <t>Caja final</t>
  </si>
  <si>
    <t>→ Caja del Balance (con piso ~$10M; se financia si baja).</t>
  </si>
  <si>
    <t>Cómo leerlo: esta proyección captura la tesis de Cadiz — una transición de "empresa que gasta" a "empresa que cobra por el agua". Los ingresos crecen fuerte (ATEC primero, luego el agua contratada del Northern Pipeline entrando en los años 2-3), y el margen operativo da un giro notable: de muy negativo a +35%, porque vender agua bajo contratos take-or-pay es un negocio de altísimo margen una vez que la infraestructura existe. Dos matices propios de Cadiz que el modelo incorpora: el gasto por intereses es real y pesado (tiene deuda de verdad, no como las otras opciones), y los impuestos están casi anulados por el escudo fiscal del NOL de $368M. El CapEx del gigantesco proyecto Mojave se financia por separado (vía la filial MWI con inversores externos), no se carga aquí. Todo cuadra (Descuadre=0). La gran incógnita: que el agua efectivamente empiece a fluir y generar ingresos según lo contratado.</t>
  </si>
  <si>
    <t>ANÁLISIS DE SENSIBILIDAD — Valor por acción (NAV)</t>
  </si>
  <si>
    <t>Valor de los derechos de agua+almacenamiento (filas) × valor de la infraestructura+ATEC (columnas), en $M. Son los grandes componentes del NAV.</t>
  </si>
  <si>
    <t>Agua \ Infra+ATEC ($M)</t>
  </si>
  <si>
    <t>Precio de mercado:</t>
  </si>
  <si>
    <t>Compara cada celda con el precio de ~$3.</t>
  </si>
  <si>
    <t>Lectura: el valor de Cadiz depende enteramente de cuánto valgan sus derechos de agua, y esa es una cifra difícil de precisar. La tabla lo hace explícito: con valuaciones conservadoras del agua (esquina superior izquierda) el NAV por acción puede quedar cerca o por debajo del precio; con valuaciones más generosas —justificables dado el estrés hídrico de California y los contratos ya firmados— el NAV supera holgadamente el precio. La deuda y las preferentes (restadas en todos los escenarios) son el lastre que reduce cuánto de ese valor del agua llega a las acciones comunes. La apuesta central: ¿cuánto vale realmente el agua en el suroeste, y logrará Cadiz monetizarla antes de que la deuda apriete?</t>
  </si>
  <si>
    <t>ANÁLISIS DE COMPARABLES (Comps) — agua y recursos hídricos</t>
  </si>
  <si>
    <t>Ancla CDZI contra empresas de agua. Pure Cycle (PCYO) es el comparable directo (mismo tema, más maduro y sin deuda). Múltiplos aprox/editables (azul).</t>
  </si>
  <si>
    <t>Empresa</t>
  </si>
  <si>
    <t>Ticker</t>
  </si>
  <si>
    <t>EV/Ventas</t>
  </si>
  <si>
    <t>P/VC</t>
  </si>
  <si>
    <t>Pure Cycle</t>
  </si>
  <si>
    <t>PCYO</t>
  </si>
  <si>
    <t>Comparable directo: agua, rentable, SIN deuda. Referencia clave.</t>
  </si>
  <si>
    <t>American States Water</t>
  </si>
  <si>
    <t>AWR</t>
  </si>
  <si>
    <t>Utility de agua regulada, madura y rentable.</t>
  </si>
  <si>
    <t>California Water Service</t>
  </si>
  <si>
    <t>CWT</t>
  </si>
  <si>
    <t>Utility de agua de California. Referencia regional.</t>
  </si>
  <si>
    <t>Global Water Resources</t>
  </si>
  <si>
    <t>GWRS</t>
  </si>
  <si>
    <t>Agua/aguas residuales en el suroeste (Arizona).</t>
  </si>
  <si>
    <t>Consolidated Water</t>
  </si>
  <si>
    <t>CWCO</t>
  </si>
  <si>
    <t>Desalinización y agua. Rentable.</t>
  </si>
  <si>
    <t>MEDIANA</t>
  </si>
  <si>
    <t>VALORACIÓN IMPLÍCITA DE CDZI ($/acción)</t>
  </si>
  <si>
    <t>Método</t>
  </si>
  <si>
    <t>Base (miles $)</t>
  </si>
  <si>
    <t>× múltiplo</t>
  </si>
  <si>
    <t>Valor/acción</t>
  </si>
  <si>
    <t>Nota</t>
  </si>
  <si>
    <t>Por EV/Ventas (ingreso año4 proj)</t>
  </si>
  <si>
    <t>Ventas futuras (año4) × múlt − deuda − pref.</t>
  </si>
  <si>
    <t>Por P/VC (sobre patrimonio contable)</t>
  </si>
  <si>
    <t>Ojo: el patrimonio contable subestima el agua. Referencial.</t>
  </si>
  <si>
    <t>Nota: el comparable natural de Cadiz es Pure Cycle (PCYO), que ya valoramos: misma tesis de agua en el suroeste, pero PCYO es rentable y no tiene deuda, mientras Cadiz es pre-rentabilidad y apalancada — por eso PCYO cotiza a múltiplos más altos y con menos riesgo. Las utilities de agua reguladas (American States, California Water) son negocios maduros y estables que enmarcan el múltiplo "de destino" si Cadiz logra convertirse en un proveedor de agua en operación. El comparable por ventas se aplica sobre los ingresos futuros (año 4), cuando el agua ya fluye, no sobre los actuales. El P/VC es poco informativo aquí porque el patrimonio contable esconde el valor real del agua — por eso el NAV (hoja Valoración) es el método principal.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</si>
</sst>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
    <numFmt numFmtId="166" formatCode="#,##0;\(#,##0\);\-"/>
    <numFmt numFmtId="167" formatCode="0.0%"/>
    <numFmt numFmtId="168" formatCode="#,##0.0"/>
    <numFmt numFmtId="169" formatCode="0.00\x"/>
    <numFmt numFmtId="170" formatCode="#,##0&quot; meses&quot;"/>
    <numFmt numFmtId="171" formatCode="0.0\x"/>
  </numFmts>
  <fonts count="24">
    <font>
      <sz val="11.0"/>
      <color theme="1"/>
      <name val="Calibri"/>
      <scheme val="minor"/>
    </font>
    <font>
      <sz val="11.0"/>
      <color theme="1"/>
      <name val="Calibri"/>
    </font>
    <font>
      <b/>
      <sz val="14.0"/>
      <color rgb="FFFFFFFF"/>
      <name val="Arial"/>
    </font>
    <font/>
    <font>
      <i/>
      <sz val="8.0"/>
      <color rgb="FF808080"/>
      <name val="Arial"/>
    </font>
    <font>
      <b/>
      <sz val="13.0"/>
      <color rgb="FFFFFFFF"/>
      <name val="Arial"/>
    </font>
    <font>
      <b/>
      <sz val="11.0"/>
      <color theme="1"/>
      <name val="Arial"/>
    </font>
    <font>
      <b/>
      <sz val="10.0"/>
      <color theme="1"/>
      <name val="Arial"/>
    </font>
    <font>
      <b/>
      <sz val="9.0"/>
      <color rgb="FFFFFFFF"/>
      <name val="Arial"/>
    </font>
    <font>
      <b/>
      <sz val="10.0"/>
      <color rgb="FF1F4E79"/>
      <name val="Arial"/>
    </font>
    <font>
      <sz val="10.0"/>
      <color rgb="FF008000"/>
      <name val="Arial"/>
    </font>
    <font>
      <sz val="10.0"/>
      <color rgb="FF000000"/>
      <name val="Arial"/>
    </font>
    <font>
      <b/>
      <sz val="10.0"/>
      <color rgb="FF008000"/>
      <name val="Arial"/>
    </font>
    <font>
      <sz val="10.0"/>
      <color rgb="FF0000FF"/>
      <name val="Arial"/>
    </font>
    <font>
      <sz val="9.0"/>
      <color rgb="FF404040"/>
      <name val="Arial"/>
    </font>
    <font>
      <b/>
      <sz val="9.0"/>
      <color rgb="FF1F4E79"/>
      <name val="Arial"/>
    </font>
    <font>
      <b/>
      <sz val="9.0"/>
      <color theme="1"/>
      <name val="Arial"/>
    </font>
    <font>
      <i/>
      <sz val="8.0"/>
      <color rgb="FF606060"/>
      <name val="Arial"/>
    </font>
    <font>
      <i/>
      <sz val="8.0"/>
      <color rgb="FFC00000"/>
      <name val="Arial"/>
    </font>
    <font>
      <i/>
      <sz val="9.0"/>
      <color rgb="FF1F4E79"/>
      <name val="Arial"/>
    </font>
    <font>
      <b/>
      <sz val="12.0"/>
      <color rgb="FFFFFFFF"/>
      <name val="Arial"/>
    </font>
    <font>
      <b/>
      <sz val="10.0"/>
      <color rgb="FFFFFFFF"/>
      <name val="Arial"/>
    </font>
    <font>
      <sz val="8.0"/>
      <color rgb="FF606060"/>
      <name val="Arial"/>
    </font>
    <font>
      <i/>
      <sz val="9.0"/>
      <color rgb="FFC00000"/>
      <name val="Arial"/>
    </font>
  </fonts>
  <fills count="15">
    <fill>
      <patternFill patternType="none"/>
    </fill>
    <fill>
      <patternFill patternType="lightGray"/>
    </fill>
    <fill>
      <patternFill patternType="solid">
        <fgColor rgb="FF1F4E79"/>
        <bgColor rgb="FF1F4E79"/>
      </patternFill>
    </fill>
    <fill>
      <patternFill patternType="solid">
        <fgColor rgb="FFDAE8F5"/>
        <bgColor rgb="FFDAE8F5"/>
      </patternFill>
    </fill>
    <fill>
      <patternFill patternType="solid">
        <fgColor rgb="FF2E6CA4"/>
        <bgColor rgb="FF2E6CA4"/>
      </patternFill>
    </fill>
    <fill>
      <patternFill patternType="solid">
        <fgColor rgb="FF548235"/>
        <bgColor rgb="FF548235"/>
      </patternFill>
    </fill>
    <fill>
      <patternFill patternType="solid">
        <fgColor rgb="FF3A8DC0"/>
        <bgColor rgb="FF3A8DC0"/>
      </patternFill>
    </fill>
    <fill>
      <patternFill patternType="solid">
        <fgColor rgb="FFBF8F00"/>
        <bgColor rgb="FFBF8F00"/>
      </patternFill>
    </fill>
    <fill>
      <patternFill patternType="solid">
        <fgColor rgb="FFCFE0F0"/>
        <bgColor rgb="FFCFE0F0"/>
      </patternFill>
    </fill>
    <fill>
      <patternFill patternType="solid">
        <fgColor rgb="FFFFF2CC"/>
        <bgColor rgb="FFFFF2CC"/>
      </patternFill>
    </fill>
    <fill>
      <patternFill patternType="solid">
        <fgColor rgb="FFE8F0FA"/>
        <bgColor rgb="FFE8F0FA"/>
      </patternFill>
    </fill>
    <fill>
      <patternFill patternType="solid">
        <fgColor rgb="FFFFE699"/>
        <bgColor rgb="FFFFE699"/>
      </patternFill>
    </fill>
    <fill>
      <patternFill patternType="solid">
        <fgColor rgb="FFFFFF00"/>
        <bgColor rgb="FFFFFF00"/>
      </patternFill>
    </fill>
    <fill>
      <patternFill patternType="solid">
        <fgColor rgb="FFF8CBAD"/>
        <bgColor rgb="FFF8CBAD"/>
      </patternFill>
    </fill>
    <fill>
      <patternFill patternType="solid">
        <fgColor rgb="FFC6E0B4"/>
        <bgColor rgb="FFC6E0B4"/>
      </patternFill>
    </fill>
  </fills>
  <borders count="9">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right/>
      <top style="thin">
        <color rgb="FFB0B0B0"/>
      </top>
      <bottom style="thin">
        <color rgb="FFB0B0B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horizontal="left" shrinkToFit="0" vertical="center" wrapText="1"/>
    </xf>
    <xf borderId="1" fillId="2" fontId="5" numFmtId="0" xfId="0" applyAlignment="1" applyBorder="1" applyFont="1">
      <alignment horizontal="center" shrinkToFit="0" vertical="center" wrapText="1"/>
    </xf>
    <xf borderId="4" fillId="3" fontId="6" numFmtId="0" xfId="0" applyAlignment="1" applyBorder="1" applyFill="1" applyFont="1">
      <alignment shrinkToFit="0" vertical="bottom" wrapText="0"/>
    </xf>
    <xf borderId="4" fillId="3" fontId="1" numFmtId="0" xfId="0" applyAlignment="1" applyBorder="1" applyFont="1">
      <alignment shrinkToFit="0" vertical="bottom" wrapText="0"/>
    </xf>
    <xf borderId="4" fillId="0" fontId="7" numFmtId="0" xfId="0" applyAlignment="1" applyBorder="1" applyFont="1">
      <alignment horizontal="left" shrinkToFit="0" vertical="center" wrapText="1"/>
    </xf>
    <xf borderId="4" fillId="4" fontId="8" numFmtId="0" xfId="0" applyAlignment="1" applyBorder="1" applyFill="1" applyFont="1">
      <alignment shrinkToFit="0" vertical="bottom" wrapText="0"/>
    </xf>
    <xf borderId="5" fillId="5" fontId="8" numFmtId="0" xfId="0" applyAlignment="1" applyBorder="1" applyFill="1" applyFont="1">
      <alignment horizontal="center" shrinkToFit="0" vertical="center" wrapText="1"/>
    </xf>
    <xf borderId="4" fillId="4" fontId="8" numFmtId="0" xfId="0" applyAlignment="1" applyBorder="1" applyFont="1">
      <alignment horizontal="center" shrinkToFit="0" vertical="center" wrapText="1"/>
    </xf>
    <xf borderId="6" fillId="0" fontId="3" numFmtId="0" xfId="0" applyBorder="1" applyFont="1"/>
    <xf borderId="7" fillId="0" fontId="3" numFmtId="0" xfId="0" applyBorder="1" applyFont="1"/>
    <xf borderId="4" fillId="3" fontId="9" numFmtId="0" xfId="0" applyAlignment="1" applyBorder="1" applyFont="1">
      <alignment shrinkToFit="0" vertical="bottom" wrapText="0"/>
    </xf>
    <xf borderId="4" fillId="0" fontId="10" numFmtId="164" xfId="0" applyAlignment="1" applyBorder="1" applyFont="1" applyNumberFormat="1">
      <alignment horizontal="center" shrinkToFit="0" vertical="center" wrapText="1"/>
    </xf>
    <xf borderId="5" fillId="6" fontId="8" numFmtId="0" xfId="0" applyAlignment="1" applyBorder="1" applyFill="1" applyFont="1">
      <alignment horizontal="center" shrinkToFit="0" vertical="center" wrapText="1"/>
    </xf>
    <xf borderId="4" fillId="0" fontId="4" numFmtId="0" xfId="0" applyAlignment="1" applyBorder="1" applyFont="1">
      <alignment horizontal="left" shrinkToFit="0" vertical="center" wrapText="1"/>
    </xf>
    <xf borderId="5" fillId="4" fontId="8" numFmtId="0" xfId="0" applyAlignment="1" applyBorder="1" applyFont="1">
      <alignment horizontal="center" shrinkToFit="0" vertical="center" wrapText="1"/>
    </xf>
    <xf borderId="5" fillId="7" fontId="8" numFmtId="0" xfId="0" applyAlignment="1" applyBorder="1" applyFill="1" applyFont="1">
      <alignment horizontal="center" shrinkToFit="0" vertical="center" wrapText="1"/>
    </xf>
    <xf borderId="4" fillId="0" fontId="11" numFmtId="0" xfId="0" applyAlignment="1" applyBorder="1" applyFont="1">
      <alignment horizontal="left" shrinkToFit="0" vertical="center" wrapText="1"/>
    </xf>
    <xf borderId="8" fillId="0" fontId="3" numFmtId="0" xfId="0" applyBorder="1" applyFont="1"/>
    <xf borderId="4" fillId="0" fontId="10" numFmtId="165" xfId="0" applyAlignment="1" applyBorder="1" applyFont="1" applyNumberFormat="1">
      <alignment horizontal="center" shrinkToFit="0" vertical="center" wrapText="1"/>
    </xf>
    <xf borderId="4" fillId="0" fontId="10" numFmtId="166" xfId="0" applyAlignment="1" applyBorder="1" applyFont="1" applyNumberFormat="1">
      <alignment horizontal="center" shrinkToFit="0" vertical="center" wrapText="1"/>
    </xf>
    <xf borderId="4" fillId="4" fontId="8" numFmtId="0" xfId="0" applyAlignment="1" applyBorder="1" applyFont="1">
      <alignment horizontal="left" shrinkToFit="0" vertical="center" wrapText="1"/>
    </xf>
    <xf borderId="4" fillId="0" fontId="12" numFmtId="166" xfId="0" applyAlignment="1" applyBorder="1" applyFont="1" applyNumberFormat="1">
      <alignment horizontal="center" shrinkToFit="0" vertical="center" wrapText="1"/>
    </xf>
    <xf borderId="4" fillId="8" fontId="9" numFmtId="0" xfId="0" applyAlignment="1" applyBorder="1" applyFill="1" applyFont="1">
      <alignment horizontal="left" shrinkToFit="0" vertical="center" wrapText="1"/>
    </xf>
    <xf borderId="4" fillId="8" fontId="1" numFmtId="0" xfId="0" applyAlignment="1" applyBorder="1" applyFont="1">
      <alignment shrinkToFit="0" vertical="bottom" wrapText="0"/>
    </xf>
    <xf borderId="4" fillId="0" fontId="10" numFmtId="3" xfId="0" applyAlignment="1" applyBorder="1" applyFont="1" applyNumberFormat="1">
      <alignment horizontal="center" shrinkToFit="0" vertical="center" wrapText="1"/>
    </xf>
    <xf borderId="4" fillId="9" fontId="11" numFmtId="0" xfId="0" applyAlignment="1" applyBorder="1" applyFill="1" applyFont="1">
      <alignment horizontal="center" shrinkToFit="0" vertical="center" wrapText="1"/>
    </xf>
    <xf borderId="4" fillId="9" fontId="13" numFmtId="166" xfId="0" applyAlignment="1" applyBorder="1" applyFont="1" applyNumberFormat="1">
      <alignment horizontal="center" shrinkToFit="0" vertical="center" wrapText="1"/>
    </xf>
    <xf borderId="4" fillId="10" fontId="13" numFmtId="166" xfId="0" applyAlignment="1" applyBorder="1" applyFill="1" applyFont="1" applyNumberFormat="1">
      <alignment horizontal="center" shrinkToFit="0" vertical="center" wrapText="1"/>
    </xf>
    <xf borderId="4" fillId="11" fontId="7" numFmtId="0" xfId="0" applyAlignment="1" applyBorder="1" applyFill="1" applyFont="1">
      <alignment horizontal="center" shrinkToFit="0" vertical="center" wrapText="1"/>
    </xf>
    <xf borderId="4" fillId="10" fontId="11" numFmtId="0" xfId="0" applyAlignment="1" applyBorder="1" applyFont="1">
      <alignment horizontal="center" shrinkToFit="0" vertical="center" wrapText="1"/>
    </xf>
    <xf borderId="4" fillId="0" fontId="11" numFmtId="167" xfId="0" applyAlignment="1" applyBorder="1" applyFont="1" applyNumberFormat="1">
      <alignment horizontal="center" shrinkToFit="0" vertical="center" wrapText="1"/>
    </xf>
    <xf borderId="4" fillId="0" fontId="14" numFmtId="0" xfId="0" applyAlignment="1" applyBorder="1" applyFont="1">
      <alignment horizontal="left" shrinkToFit="0" vertical="center" wrapText="1"/>
    </xf>
    <xf borderId="4" fillId="12" fontId="12" numFmtId="166" xfId="0" applyAlignment="1" applyBorder="1" applyFill="1" applyFont="1" applyNumberFormat="1">
      <alignment horizontal="center" shrinkToFit="0" vertical="center" wrapText="1"/>
    </xf>
    <xf borderId="4" fillId="13" fontId="7" numFmtId="0" xfId="0" applyAlignment="1" applyBorder="1" applyFill="1" applyFont="1">
      <alignment horizontal="center" shrinkToFit="0" vertical="center" wrapText="1"/>
    </xf>
    <xf borderId="4" fillId="14" fontId="7" numFmtId="0" xfId="0" applyAlignment="1" applyBorder="1" applyFill="1" applyFont="1">
      <alignment horizontal="center"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18" numFmtId="0" xfId="0" applyAlignment="1" applyFont="1">
      <alignment horizontal="left" shrinkToFit="0" vertical="center" wrapText="1"/>
    </xf>
    <xf borderId="4" fillId="13" fontId="10" numFmtId="166" xfId="0" applyAlignment="1" applyBorder="1" applyFont="1" applyNumberFormat="1">
      <alignment horizontal="center" shrinkToFit="0" vertical="center" wrapText="1"/>
    </xf>
    <xf borderId="4" fillId="10" fontId="13" numFmtId="4" xfId="0" applyAlignment="1" applyBorder="1" applyFont="1" applyNumberFormat="1">
      <alignment horizontal="center" shrinkToFit="0" vertical="center" wrapText="1"/>
    </xf>
    <xf borderId="4" fillId="10" fontId="13" numFmtId="168" xfId="0" applyAlignment="1" applyBorder="1" applyFont="1" applyNumberFormat="1">
      <alignment horizontal="center" shrinkToFit="0" vertical="center" wrapText="1"/>
    </xf>
    <xf borderId="4" fillId="13" fontId="11" numFmtId="169" xfId="0" applyAlignment="1" applyBorder="1" applyFont="1" applyNumberFormat="1">
      <alignment horizontal="center" shrinkToFit="0" vertical="center" wrapText="1"/>
    </xf>
    <xf borderId="4" fillId="0" fontId="11" numFmtId="169" xfId="0" applyAlignment="1" applyBorder="1" applyFont="1" applyNumberFormat="1">
      <alignment horizontal="center" shrinkToFit="0" vertical="center" wrapText="1"/>
    </xf>
    <xf borderId="4" fillId="10" fontId="13" numFmtId="3" xfId="0" applyAlignment="1" applyBorder="1" applyFont="1" applyNumberFormat="1">
      <alignment horizontal="center" shrinkToFit="0" vertical="center" wrapText="1"/>
    </xf>
    <xf borderId="0" fillId="0" fontId="19" numFmtId="0" xfId="0" applyAlignment="1" applyFont="1">
      <alignment horizontal="left" shrinkToFit="0" vertical="center" wrapText="1"/>
    </xf>
    <xf borderId="4" fillId="10" fontId="13" numFmtId="167" xfId="0" applyAlignment="1" applyBorder="1" applyFont="1" applyNumberFormat="1">
      <alignment horizontal="center" shrinkToFit="0" vertical="center" wrapText="1"/>
    </xf>
    <xf borderId="1" fillId="2" fontId="20" numFmtId="0" xfId="0" applyAlignment="1" applyBorder="1" applyFont="1">
      <alignment horizontal="center" shrinkToFit="0" vertical="center" wrapText="1"/>
    </xf>
    <xf borderId="4" fillId="10" fontId="13" numFmtId="2" xfId="0" applyAlignment="1" applyBorder="1" applyFont="1" applyNumberFormat="1">
      <alignment horizontal="center" shrinkToFit="0" vertical="center" wrapText="1"/>
    </xf>
    <xf borderId="4" fillId="4" fontId="21" numFmtId="0" xfId="0" applyAlignment="1" applyBorder="1" applyFont="1">
      <alignment horizontal="left" shrinkToFit="0" vertical="center" wrapText="1"/>
    </xf>
    <xf borderId="4" fillId="4" fontId="1" numFmtId="0" xfId="0" applyAlignment="1" applyBorder="1" applyFont="1">
      <alignment shrinkToFit="0" vertical="bottom" wrapText="0"/>
    </xf>
    <xf borderId="0" fillId="0" fontId="22" numFmtId="0" xfId="0" applyAlignment="1" applyFont="1">
      <alignment horizontal="left" shrinkToFit="0" vertical="center" wrapText="1"/>
    </xf>
    <xf borderId="4" fillId="0" fontId="11" numFmtId="3"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12" fontId="13" numFmtId="3" xfId="0" applyAlignment="1" applyBorder="1" applyFont="1" applyNumberFormat="1">
      <alignment horizontal="center" shrinkToFit="0" vertical="center" wrapText="0"/>
    </xf>
    <xf borderId="4" fillId="12" fontId="13" numFmtId="167" xfId="0" applyAlignment="1" applyBorder="1" applyFont="1" applyNumberFormat="1">
      <alignment horizontal="center" shrinkToFit="0" vertical="center" wrapText="0"/>
    </xf>
    <xf borderId="4" fillId="0" fontId="11" numFmtId="170" xfId="0" applyAlignment="1" applyBorder="1" applyFont="1" applyNumberFormat="1">
      <alignment horizontal="center" shrinkToFit="0" vertical="center" wrapText="1"/>
    </xf>
    <xf borderId="4" fillId="0" fontId="7" numFmtId="166" xfId="0" applyAlignment="1" applyBorder="1" applyFont="1" applyNumberFormat="1">
      <alignment horizontal="center" shrinkToFit="0" vertical="center" wrapText="1"/>
    </xf>
    <xf borderId="4" fillId="0" fontId="1" numFmtId="0" xfId="0" applyAlignment="1" applyBorder="1" applyFont="1">
      <alignment shrinkToFit="0" vertical="bottom" wrapText="0"/>
    </xf>
    <xf borderId="4" fillId="3" fontId="8" numFmtId="0" xfId="0" applyAlignment="1" applyBorder="1" applyFont="1">
      <alignment shrinkToFit="0" vertical="bottom" wrapText="0"/>
    </xf>
    <xf borderId="4" fillId="3" fontId="8" numFmtId="0" xfId="0" applyAlignment="1" applyBorder="1" applyFont="1">
      <alignment horizontal="center" shrinkToFit="0" vertical="center" wrapText="1"/>
    </xf>
    <xf borderId="4" fillId="11" fontId="13" numFmtId="166" xfId="0" applyAlignment="1" applyBorder="1" applyFont="1" applyNumberFormat="1">
      <alignment horizontal="center" shrinkToFit="0" vertical="center" wrapText="1"/>
    </xf>
    <xf borderId="4" fillId="14" fontId="7" numFmtId="0" xfId="0" applyAlignment="1" applyBorder="1" applyFont="1">
      <alignment horizontal="left" shrinkToFit="0" vertical="center" wrapText="1"/>
    </xf>
    <xf borderId="4" fillId="14" fontId="7" numFmtId="166" xfId="0" applyAlignment="1" applyBorder="1" applyFont="1" applyNumberFormat="1">
      <alignment horizontal="center" shrinkToFit="0" vertical="center" wrapText="1"/>
    </xf>
    <xf borderId="4" fillId="14" fontId="7" numFmtId="164" xfId="0" applyAlignment="1" applyBorder="1" applyFont="1" applyNumberFormat="1">
      <alignment horizontal="center" shrinkToFit="0" vertical="center" wrapText="1"/>
    </xf>
    <xf borderId="4" fillId="0" fontId="10" numFmtId="10" xfId="0" applyAlignment="1" applyBorder="1" applyFont="1" applyNumberFormat="1">
      <alignment horizontal="center" shrinkToFit="0" vertical="center" wrapText="1"/>
    </xf>
    <xf borderId="4" fillId="0" fontId="10" numFmtId="2" xfId="0" applyAlignment="1" applyBorder="1" applyFont="1" applyNumberFormat="1">
      <alignment horizontal="center" shrinkToFit="0" vertical="center" wrapText="1"/>
    </xf>
    <xf borderId="4" fillId="0" fontId="10" numFmtId="167" xfId="0" applyAlignment="1" applyBorder="1" applyFont="1" applyNumberFormat="1">
      <alignment horizontal="center" shrinkToFit="0" vertical="center" wrapText="1"/>
    </xf>
    <xf borderId="4" fillId="0" fontId="11" numFmtId="2" xfId="0" applyAlignment="1" applyBorder="1" applyFont="1" applyNumberFormat="1">
      <alignment horizontal="center" shrinkToFit="0" vertical="center" wrapText="1"/>
    </xf>
    <xf borderId="4" fillId="11" fontId="11" numFmtId="10" xfId="0" applyAlignment="1" applyBorder="1" applyFont="1" applyNumberFormat="1">
      <alignment horizontal="center" shrinkToFit="0" vertical="center" wrapText="1"/>
    </xf>
    <xf borderId="4" fillId="12" fontId="7" numFmtId="10" xfId="0" applyAlignment="1" applyBorder="1" applyFont="1" applyNumberFormat="1">
      <alignment horizontal="center" shrinkToFit="0" vertical="center" wrapText="1"/>
    </xf>
    <xf borderId="4" fillId="3" fontId="8" numFmtId="0" xfId="0" applyAlignment="1" applyBorder="1" applyFont="1">
      <alignment horizontal="left" shrinkToFit="0" vertical="center" wrapText="1"/>
    </xf>
    <xf borderId="4" fillId="0" fontId="11" numFmtId="0" xfId="0" applyAlignment="1" applyBorder="1" applyFont="1">
      <alignment horizontal="center" shrinkToFit="0" vertical="center" wrapText="1"/>
    </xf>
    <xf borderId="4" fillId="0" fontId="7" numFmtId="164" xfId="0" applyAlignment="1" applyBorder="1" applyFont="1" applyNumberFormat="1">
      <alignment horizontal="center" shrinkToFit="0" vertical="center" wrapText="1"/>
    </xf>
    <xf borderId="4" fillId="12" fontId="7" numFmtId="0" xfId="0" applyAlignment="1" applyBorder="1" applyFont="1">
      <alignment horizontal="left" shrinkToFit="0" vertical="center" wrapText="1"/>
    </xf>
    <xf borderId="4" fillId="11" fontId="10" numFmtId="164" xfId="0" applyAlignment="1" applyBorder="1" applyFont="1" applyNumberFormat="1">
      <alignment horizontal="center" shrinkToFit="0" vertical="center" wrapText="1"/>
    </xf>
    <xf borderId="4" fillId="12" fontId="7" numFmtId="166" xfId="0" applyAlignment="1" applyBorder="1" applyFont="1" applyNumberFormat="1">
      <alignment horizontal="center" shrinkToFit="0" vertical="center" wrapText="1"/>
    </xf>
    <xf borderId="4" fillId="12" fontId="7" numFmtId="167" xfId="0" applyAlignment="1" applyBorder="1" applyFont="1" applyNumberFormat="1">
      <alignment horizontal="center" shrinkToFit="0" vertical="center" wrapText="1"/>
    </xf>
    <xf borderId="0" fillId="0" fontId="23" numFmtId="0" xfId="0" applyAlignment="1" applyFont="1">
      <alignment horizontal="left" shrinkToFit="0" vertical="center" wrapText="1"/>
    </xf>
    <xf borderId="4" fillId="4" fontId="8" numFmtId="3" xfId="0" applyAlignment="1" applyBorder="1" applyFont="1" applyNumberFormat="1">
      <alignment horizontal="center" shrinkToFit="0" vertical="center" wrapText="1"/>
    </xf>
    <xf borderId="4" fillId="0" fontId="11" numFmtId="164" xfId="0" applyAlignment="1" applyBorder="1" applyFont="1" applyNumberFormat="1">
      <alignment horizontal="center" shrinkToFit="0" vertical="center" wrapText="1"/>
    </xf>
    <xf borderId="4" fillId="12" fontId="7" numFmtId="164" xfId="0" applyAlignment="1" applyBorder="1" applyFont="1" applyNumberFormat="1">
      <alignment horizontal="center" shrinkToFit="0" vertical="center" wrapText="1"/>
    </xf>
    <xf borderId="4" fillId="0" fontId="7" numFmtId="0" xfId="0" applyAlignment="1" applyBorder="1" applyFont="1">
      <alignment shrinkToFit="0" vertical="bottom" wrapText="0"/>
    </xf>
    <xf borderId="4" fillId="11" fontId="7" numFmtId="164" xfId="0" applyAlignment="1" applyBorder="1" applyFont="1" applyNumberFormat="1">
      <alignment horizontal="center" shrinkToFit="0" vertical="center" wrapText="1"/>
    </xf>
    <xf borderId="4" fillId="0" fontId="13" numFmtId="171" xfId="0" applyAlignment="1" applyBorder="1" applyFont="1" applyNumberFormat="1">
      <alignment horizontal="center" shrinkToFit="0" vertical="center" wrapText="1"/>
    </xf>
    <xf borderId="4" fillId="3" fontId="7" numFmtId="0" xfId="0" applyAlignment="1" applyBorder="1" applyFont="1">
      <alignment shrinkToFit="0" vertical="bottom" wrapText="0"/>
    </xf>
    <xf borderId="4" fillId="3" fontId="7" numFmtId="171" xfId="0" applyAlignment="1" applyBorder="1" applyFont="1" applyNumberFormat="1">
      <alignment horizontal="center" shrinkToFit="0" vertical="center" wrapText="1"/>
    </xf>
    <xf borderId="4" fillId="0" fontId="11" numFmtId="171" xfId="0" applyAlignment="1" applyBorder="1" applyFont="1" applyNumberFormat="1">
      <alignment horizontal="center" shrinkToFit="0" vertical="center" wrapText="1"/>
    </xf>
    <xf borderId="5" fillId="0"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17.0"/>
    <col customWidth="1" min="4" max="4" width="54.0"/>
    <col customWidth="1" min="5" max="26" width="8.71"/>
  </cols>
  <sheetData>
    <row r="2" ht="27.75" customHeight="1">
      <c r="B2" s="2" t="s">
        <v>0</v>
      </c>
      <c r="C2" s="3"/>
      <c r="D2" s="4"/>
    </row>
    <row r="3" ht="18.75" customHeight="1">
      <c r="B3" s="5" t="s">
        <v>3</v>
      </c>
    </row>
    <row r="5">
      <c r="B5" s="7" t="s">
        <v>4</v>
      </c>
      <c r="C5" s="8"/>
      <c r="D5" s="8"/>
    </row>
    <row r="6">
      <c r="B6" s="9" t="s">
        <v>8</v>
      </c>
      <c r="C6" s="16">
        <f>DATOS!K43</f>
        <v>3</v>
      </c>
      <c r="D6" s="18" t="s">
        <v>18</v>
      </c>
    </row>
    <row r="7">
      <c r="B7" s="9" t="s">
        <v>21</v>
      </c>
      <c r="C7" s="23">
        <f>DATOS!E8</f>
        <v>16300</v>
      </c>
      <c r="D7" s="18" t="s">
        <v>26</v>
      </c>
    </row>
    <row r="8">
      <c r="B8" s="9" t="s">
        <v>28</v>
      </c>
      <c r="C8" s="23">
        <f>DATOS!I10</f>
        <v>6084</v>
      </c>
      <c r="D8" s="18" t="s">
        <v>36</v>
      </c>
    </row>
    <row r="9">
      <c r="B9" s="9" t="s">
        <v>38</v>
      </c>
      <c r="C9" s="23">
        <f>DATOS!K22+DATOS!K23</f>
        <v>15964</v>
      </c>
      <c r="D9" s="18" t="s">
        <v>41</v>
      </c>
    </row>
    <row r="10">
      <c r="B10" s="9" t="s">
        <v>43</v>
      </c>
      <c r="C10" s="23">
        <f>DATOS!K38</f>
        <v>85345</v>
      </c>
      <c r="D10" s="18" t="s">
        <v>49</v>
      </c>
    </row>
    <row r="11">
      <c r="B11" s="9" t="s">
        <v>51</v>
      </c>
      <c r="C11" s="23">
        <f>DATOS!K37</f>
        <v>35566</v>
      </c>
      <c r="D11" s="18" t="s">
        <v>54</v>
      </c>
    </row>
    <row r="12">
      <c r="B12" s="9" t="s">
        <v>55</v>
      </c>
      <c r="C12" s="29">
        <f>DATOS!K44</f>
        <v>2500000</v>
      </c>
      <c r="D12" s="18" t="s">
        <v>57</v>
      </c>
    </row>
    <row r="13">
      <c r="B13" s="9" t="s">
        <v>58</v>
      </c>
      <c r="C13" s="23">
        <f>DATOS!K46</f>
        <v>368000</v>
      </c>
      <c r="D13" s="18" t="s">
        <v>59</v>
      </c>
    </row>
    <row r="15">
      <c r="B15" s="7" t="s">
        <v>61</v>
      </c>
      <c r="C15" s="8"/>
      <c r="D15" s="8"/>
    </row>
    <row r="16" ht="31.5" customHeight="1">
      <c r="B16" s="9" t="s">
        <v>62</v>
      </c>
      <c r="C16" s="33" t="s">
        <v>63</v>
      </c>
      <c r="D16" s="36" t="s">
        <v>65</v>
      </c>
    </row>
    <row r="17" ht="31.5" customHeight="1">
      <c r="B17" s="9" t="s">
        <v>67</v>
      </c>
      <c r="C17" s="33" t="s">
        <v>68</v>
      </c>
      <c r="D17" s="36" t="s">
        <v>69</v>
      </c>
    </row>
    <row r="18" ht="31.5" customHeight="1">
      <c r="B18" s="9" t="s">
        <v>71</v>
      </c>
      <c r="C18" s="38" t="s">
        <v>72</v>
      </c>
      <c r="D18" s="36" t="s">
        <v>74</v>
      </c>
    </row>
    <row r="19" ht="31.5" customHeight="1">
      <c r="B19" s="9" t="s">
        <v>76</v>
      </c>
      <c r="C19" s="39" t="s">
        <v>78</v>
      </c>
      <c r="D19" s="36" t="s">
        <v>80</v>
      </c>
    </row>
    <row r="20" ht="31.5" customHeight="1">
      <c r="B20" s="9" t="s">
        <v>81</v>
      </c>
      <c r="C20" s="39" t="s">
        <v>83</v>
      </c>
      <c r="D20" s="36" t="s">
        <v>84</v>
      </c>
    </row>
    <row r="21" ht="31.5" customHeight="1">
      <c r="B21" s="9" t="s">
        <v>85</v>
      </c>
      <c r="C21" s="38" t="s">
        <v>87</v>
      </c>
      <c r="D21" s="36" t="s">
        <v>88</v>
      </c>
    </row>
    <row r="22" ht="15.75" customHeight="1"/>
    <row r="23" ht="15.75" customHeight="1">
      <c r="B23" s="7" t="s">
        <v>90</v>
      </c>
      <c r="C23" s="8"/>
      <c r="D23" s="8"/>
    </row>
    <row r="24" ht="25.5" customHeight="1">
      <c r="B24" s="40" t="s">
        <v>93</v>
      </c>
      <c r="C24" s="41" t="s">
        <v>96</v>
      </c>
      <c r="D24" s="36" t="s">
        <v>99</v>
      </c>
    </row>
    <row r="25" ht="25.5" customHeight="1">
      <c r="B25" s="40" t="s">
        <v>101</v>
      </c>
      <c r="C25" s="41" t="s">
        <v>103</v>
      </c>
      <c r="D25" s="36" t="s">
        <v>104</v>
      </c>
    </row>
    <row r="26" ht="25.5" customHeight="1">
      <c r="B26" s="40" t="s">
        <v>105</v>
      </c>
      <c r="C26" s="41" t="s">
        <v>106</v>
      </c>
      <c r="D26" s="36" t="s">
        <v>108</v>
      </c>
    </row>
    <row r="27" ht="25.5" customHeight="1">
      <c r="B27" s="40" t="s">
        <v>109</v>
      </c>
      <c r="C27" s="41" t="s">
        <v>111</v>
      </c>
      <c r="D27" s="36" t="s">
        <v>112</v>
      </c>
    </row>
    <row r="28" ht="25.5" customHeight="1">
      <c r="B28" s="40" t="s">
        <v>113</v>
      </c>
      <c r="C28" s="41" t="s">
        <v>114</v>
      </c>
      <c r="D28" s="36" t="s">
        <v>115</v>
      </c>
    </row>
    <row r="29" ht="25.5" customHeight="1">
      <c r="B29" s="40" t="s">
        <v>117</v>
      </c>
      <c r="C29" s="41" t="s">
        <v>118</v>
      </c>
      <c r="D29" s="36" t="s">
        <v>120</v>
      </c>
    </row>
    <row r="30" ht="25.5" customHeight="1">
      <c r="B30" s="40" t="s">
        <v>122</v>
      </c>
      <c r="C30" s="41" t="s">
        <v>123</v>
      </c>
      <c r="D30" s="36" t="s">
        <v>124</v>
      </c>
    </row>
    <row r="31" ht="25.5" customHeight="1">
      <c r="B31" s="40" t="s">
        <v>126</v>
      </c>
      <c r="C31" s="41" t="s">
        <v>127</v>
      </c>
      <c r="D31" s="36" t="s">
        <v>128</v>
      </c>
    </row>
    <row r="32" ht="25.5" customHeight="1">
      <c r="B32" s="40" t="s">
        <v>130</v>
      </c>
      <c r="C32" s="41" t="s">
        <v>131</v>
      </c>
      <c r="D32" s="36" t="s">
        <v>133</v>
      </c>
    </row>
    <row r="33" ht="15.75" customHeight="1"/>
    <row r="34" ht="18.75" customHeight="1">
      <c r="B34" s="42" t="s">
        <v>134</v>
      </c>
    </row>
    <row r="35" ht="15.0" customHeight="1">
      <c r="B35" s="43" t="s">
        <v>138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3:D3"/>
    <mergeCell ref="B34:D34"/>
    <mergeCell ref="B35:D3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4.0"/>
    <col customWidth="1" min="3" max="11" width="11.0"/>
    <col customWidth="1" min="12" max="12" width="48.0"/>
    <col customWidth="1" min="13" max="26" width="8.71"/>
  </cols>
  <sheetData>
    <row r="1">
      <c r="A1" s="1"/>
      <c r="B1" s="1"/>
      <c r="C1" s="1"/>
      <c r="D1" s="1"/>
      <c r="E1" s="1"/>
      <c r="F1" s="1"/>
      <c r="G1" s="1"/>
      <c r="H1" s="1"/>
      <c r="I1" s="1"/>
      <c r="J1" s="1"/>
      <c r="K1" s="1"/>
      <c r="L1" s="1"/>
    </row>
    <row r="2" ht="24.0" customHeight="1">
      <c r="A2" s="1"/>
      <c r="B2" s="6" t="s">
        <v>5</v>
      </c>
      <c r="C2" s="3"/>
      <c r="D2" s="3"/>
      <c r="E2" s="3"/>
      <c r="F2" s="3"/>
      <c r="G2" s="3"/>
      <c r="H2" s="3"/>
      <c r="I2" s="3"/>
      <c r="J2" s="3"/>
      <c r="K2" s="3"/>
      <c r="L2" s="4"/>
    </row>
    <row r="3" ht="27.75" customHeight="1">
      <c r="A3" s="1"/>
      <c r="B3" s="5" t="s">
        <v>12</v>
      </c>
    </row>
    <row r="4">
      <c r="A4" s="1"/>
      <c r="B4" s="1"/>
      <c r="C4" s="1"/>
      <c r="D4" s="1"/>
      <c r="E4" s="1"/>
      <c r="F4" s="1"/>
      <c r="G4" s="1"/>
      <c r="H4" s="1"/>
      <c r="I4" s="1"/>
      <c r="J4" s="1"/>
      <c r="K4" s="1"/>
      <c r="L4" s="1"/>
    </row>
    <row r="5" ht="15.0" customHeight="1">
      <c r="A5" s="1"/>
      <c r="B5" s="1"/>
      <c r="C5" s="19" t="s">
        <v>17</v>
      </c>
      <c r="D5" s="13"/>
      <c r="E5" s="14"/>
      <c r="F5" s="17" t="s">
        <v>22</v>
      </c>
      <c r="G5" s="14"/>
      <c r="H5" s="20" t="s">
        <v>24</v>
      </c>
      <c r="I5" s="14"/>
      <c r="J5" s="17" t="s">
        <v>32</v>
      </c>
      <c r="K5" s="14"/>
      <c r="L5" s="1"/>
    </row>
    <row r="6" ht="15.0" customHeight="1">
      <c r="A6" s="1"/>
      <c r="B6" s="25" t="s">
        <v>23</v>
      </c>
      <c r="C6" s="12" t="s">
        <v>39</v>
      </c>
      <c r="D6" s="12" t="s">
        <v>40</v>
      </c>
      <c r="E6" s="12" t="s">
        <v>42</v>
      </c>
      <c r="F6" s="12" t="s">
        <v>44</v>
      </c>
      <c r="G6" s="12" t="s">
        <v>45</v>
      </c>
      <c r="H6" s="12" t="s">
        <v>46</v>
      </c>
      <c r="I6" s="12" t="s">
        <v>47</v>
      </c>
      <c r="J6" s="12" t="s">
        <v>11</v>
      </c>
      <c r="K6" s="12" t="s">
        <v>13</v>
      </c>
      <c r="L6" s="10" t="s">
        <v>50</v>
      </c>
    </row>
    <row r="7" ht="15.0" customHeight="1">
      <c r="A7" s="1"/>
      <c r="B7" s="27" t="s">
        <v>53</v>
      </c>
      <c r="C7" s="28"/>
      <c r="D7" s="28"/>
      <c r="E7" s="28"/>
      <c r="F7" s="28"/>
      <c r="G7" s="28"/>
      <c r="H7" s="28"/>
      <c r="I7" s="28"/>
      <c r="J7" s="28"/>
      <c r="K7" s="28"/>
      <c r="L7" s="28"/>
    </row>
    <row r="8" ht="15.0" customHeight="1">
      <c r="A8" s="1"/>
      <c r="B8" s="9" t="s">
        <v>37</v>
      </c>
      <c r="C8" s="30"/>
      <c r="D8" s="31">
        <v>4500.0</v>
      </c>
      <c r="E8" s="31">
        <v>16300.0</v>
      </c>
      <c r="F8" s="32">
        <v>513.0</v>
      </c>
      <c r="G8" s="32">
        <v>4126.0</v>
      </c>
      <c r="H8" s="32">
        <v>1634.0</v>
      </c>
      <c r="I8" s="32">
        <v>7080.0</v>
      </c>
      <c r="J8" s="34"/>
      <c r="K8" s="34"/>
      <c r="L8" s="18" t="s">
        <v>66</v>
      </c>
    </row>
    <row r="9" ht="15.0" customHeight="1">
      <c r="A9" s="1"/>
      <c r="B9" s="21" t="s">
        <v>70</v>
      </c>
      <c r="C9" s="30"/>
      <c r="D9" s="30"/>
      <c r="E9" s="30"/>
      <c r="F9" s="32">
        <v>350.0</v>
      </c>
      <c r="G9" s="32">
        <v>431.0</v>
      </c>
      <c r="H9" s="32">
        <v>986.0</v>
      </c>
      <c r="I9" s="32">
        <v>996.0</v>
      </c>
      <c r="J9" s="34"/>
      <c r="K9" s="34"/>
      <c r="L9" s="18" t="s">
        <v>73</v>
      </c>
    </row>
    <row r="10" ht="15.0" customHeight="1">
      <c r="A10" s="1"/>
      <c r="B10" s="21" t="s">
        <v>75</v>
      </c>
      <c r="C10" s="30"/>
      <c r="D10" s="30"/>
      <c r="E10" s="30"/>
      <c r="F10" s="32">
        <v>163.0</v>
      </c>
      <c r="G10" s="32">
        <v>3695.0</v>
      </c>
      <c r="H10" s="32">
        <v>648.0</v>
      </c>
      <c r="I10" s="32">
        <v>6084.0</v>
      </c>
      <c r="J10" s="34"/>
      <c r="K10" s="34"/>
      <c r="L10" s="18" t="s">
        <v>79</v>
      </c>
    </row>
    <row r="11" ht="15.0" customHeight="1">
      <c r="A11" s="1"/>
      <c r="B11" s="21" t="s">
        <v>82</v>
      </c>
      <c r="C11" s="30"/>
      <c r="D11" s="30"/>
      <c r="E11" s="30"/>
      <c r="F11" s="32">
        <v>852.0</v>
      </c>
      <c r="G11" s="32">
        <v>2665.0</v>
      </c>
      <c r="H11" s="32">
        <v>1856.0</v>
      </c>
      <c r="I11" s="32">
        <v>4743.0</v>
      </c>
      <c r="J11" s="34"/>
      <c r="K11" s="34"/>
      <c r="L11" s="18" t="s">
        <v>86</v>
      </c>
    </row>
    <row r="12" ht="15.0" customHeight="1">
      <c r="A12" s="1"/>
      <c r="B12" s="9" t="s">
        <v>89</v>
      </c>
      <c r="C12" s="30"/>
      <c r="D12" s="30"/>
      <c r="E12" s="30"/>
      <c r="F12" s="32">
        <v>-339.0</v>
      </c>
      <c r="G12" s="32">
        <v>1461.0</v>
      </c>
      <c r="H12" s="32">
        <v>-222.0</v>
      </c>
      <c r="I12" s="32">
        <v>2337.0</v>
      </c>
      <c r="J12" s="34"/>
      <c r="K12" s="34"/>
      <c r="L12" s="18" t="s">
        <v>94</v>
      </c>
    </row>
    <row r="13" ht="15.0" customHeight="1">
      <c r="A13" s="1"/>
      <c r="B13" s="21" t="s">
        <v>95</v>
      </c>
      <c r="C13" s="30"/>
      <c r="D13" s="30"/>
      <c r="E13" s="30"/>
      <c r="F13" s="32">
        <v>6305.0</v>
      </c>
      <c r="G13" s="32">
        <v>6935.0</v>
      </c>
      <c r="H13" s="32">
        <v>11035.0</v>
      </c>
      <c r="I13" s="32">
        <v>15042.0</v>
      </c>
      <c r="J13" s="34"/>
      <c r="K13" s="34"/>
      <c r="L13" s="18" t="s">
        <v>97</v>
      </c>
    </row>
    <row r="14" ht="15.0" customHeight="1">
      <c r="A14" s="1"/>
      <c r="B14" s="9" t="s">
        <v>100</v>
      </c>
      <c r="C14" s="30"/>
      <c r="D14" s="30"/>
      <c r="E14" s="30"/>
      <c r="F14" s="32">
        <v>-6949.0</v>
      </c>
      <c r="G14" s="32">
        <v>-5777.0</v>
      </c>
      <c r="H14" s="32">
        <v>-11857.0</v>
      </c>
      <c r="I14" s="32">
        <v>-13310.0</v>
      </c>
      <c r="J14" s="34"/>
      <c r="K14" s="34"/>
      <c r="L14" s="18" t="s">
        <v>107</v>
      </c>
    </row>
    <row r="15" ht="15.0" customHeight="1">
      <c r="A15" s="1"/>
      <c r="B15" s="21" t="s">
        <v>110</v>
      </c>
      <c r="C15" s="30"/>
      <c r="D15" s="30"/>
      <c r="E15" s="30"/>
      <c r="F15" s="32">
        <v>-1921.0</v>
      </c>
      <c r="G15" s="32">
        <v>-1951.0</v>
      </c>
      <c r="H15" s="32">
        <v>-3860.0</v>
      </c>
      <c r="I15" s="32">
        <v>-4008.0</v>
      </c>
      <c r="J15" s="34"/>
      <c r="K15" s="34"/>
      <c r="L15" s="18" t="s">
        <v>116</v>
      </c>
    </row>
    <row r="16" ht="15.0" customHeight="1">
      <c r="A16" s="1"/>
      <c r="B16" s="9" t="s">
        <v>121</v>
      </c>
      <c r="C16" s="30"/>
      <c r="D16" s="31">
        <v>-30000.0</v>
      </c>
      <c r="E16" s="31">
        <v>-39200.0</v>
      </c>
      <c r="F16" s="32">
        <v>-8872.0</v>
      </c>
      <c r="G16" s="32">
        <v>-7730.0</v>
      </c>
      <c r="H16" s="32">
        <v>-15722.0</v>
      </c>
      <c r="I16" s="32">
        <v>-17323.0</v>
      </c>
      <c r="J16" s="34"/>
      <c r="K16" s="34"/>
      <c r="L16" s="18" t="s">
        <v>129</v>
      </c>
    </row>
    <row r="17" ht="15.0" customHeight="1">
      <c r="A17" s="1"/>
      <c r="B17" s="21" t="s">
        <v>132</v>
      </c>
      <c r="C17" s="30"/>
      <c r="D17" s="30"/>
      <c r="E17" s="30"/>
      <c r="F17" s="32">
        <v>-1288.0</v>
      </c>
      <c r="G17" s="32">
        <v>-1288.0</v>
      </c>
      <c r="H17" s="32">
        <v>-2553.0</v>
      </c>
      <c r="I17" s="32">
        <v>-2553.0</v>
      </c>
      <c r="J17" s="34"/>
      <c r="K17" s="34"/>
      <c r="L17" s="18" t="s">
        <v>135</v>
      </c>
    </row>
    <row r="18" ht="15.0" customHeight="1">
      <c r="A18" s="1"/>
      <c r="B18" s="21" t="s">
        <v>136</v>
      </c>
      <c r="C18" s="30"/>
      <c r="D18" s="30"/>
      <c r="E18" s="30"/>
      <c r="F18" s="32">
        <v>-10160.0</v>
      </c>
      <c r="G18" s="32">
        <v>-9018.0</v>
      </c>
      <c r="H18" s="32">
        <v>-18275.0</v>
      </c>
      <c r="I18" s="32">
        <v>-19876.0</v>
      </c>
      <c r="J18" s="34"/>
      <c r="K18" s="34"/>
      <c r="L18" s="18" t="s">
        <v>139</v>
      </c>
    </row>
    <row r="19" ht="15.0" customHeight="1">
      <c r="A19" s="1"/>
      <c r="B19" s="21" t="s">
        <v>140</v>
      </c>
      <c r="C19" s="30"/>
      <c r="D19" s="30"/>
      <c r="E19" s="30"/>
      <c r="F19" s="45">
        <v>-0.15</v>
      </c>
      <c r="G19" s="45">
        <v>-0.11</v>
      </c>
      <c r="H19" s="45">
        <v>-0.27</v>
      </c>
      <c r="I19" s="45">
        <v>-0.25</v>
      </c>
      <c r="J19" s="34"/>
      <c r="K19" s="34"/>
      <c r="L19" s="18" t="s">
        <v>143</v>
      </c>
    </row>
    <row r="20" ht="15.0" customHeight="1">
      <c r="A20" s="1"/>
      <c r="B20" s="21" t="s">
        <v>144</v>
      </c>
      <c r="C20" s="30"/>
      <c r="D20" s="30"/>
      <c r="E20" s="30"/>
      <c r="F20" s="46">
        <v>67.8</v>
      </c>
      <c r="G20" s="46">
        <v>81.9</v>
      </c>
      <c r="H20" s="46">
        <v>67.4</v>
      </c>
      <c r="I20" s="46">
        <v>79.6</v>
      </c>
      <c r="J20" s="46">
        <v>75.4</v>
      </c>
      <c r="K20" s="46">
        <v>82.0</v>
      </c>
      <c r="L20" s="18" t="s">
        <v>147</v>
      </c>
    </row>
    <row r="21" ht="15.0" customHeight="1">
      <c r="A21" s="1"/>
      <c r="B21" s="27" t="s">
        <v>149</v>
      </c>
      <c r="C21" s="28"/>
      <c r="D21" s="28"/>
      <c r="E21" s="28"/>
      <c r="F21" s="28"/>
      <c r="G21" s="28"/>
      <c r="H21" s="28"/>
      <c r="I21" s="28"/>
      <c r="J21" s="28"/>
      <c r="K21" s="28"/>
      <c r="L21" s="28"/>
    </row>
    <row r="22" ht="15.0" customHeight="1">
      <c r="A22" s="1"/>
      <c r="B22" s="21" t="s">
        <v>150</v>
      </c>
      <c r="C22" s="30"/>
      <c r="D22" s="30"/>
      <c r="E22" s="30"/>
      <c r="F22" s="34"/>
      <c r="G22" s="34"/>
      <c r="H22" s="34"/>
      <c r="I22" s="34"/>
      <c r="J22" s="32">
        <v>17292.0</v>
      </c>
      <c r="K22" s="32">
        <v>13205.0</v>
      </c>
      <c r="L22" s="18" t="s">
        <v>153</v>
      </c>
    </row>
    <row r="23" ht="15.0" customHeight="1">
      <c r="A23" s="1"/>
      <c r="B23" s="21" t="s">
        <v>154</v>
      </c>
      <c r="C23" s="30"/>
      <c r="D23" s="30"/>
      <c r="E23" s="30"/>
      <c r="F23" s="34"/>
      <c r="G23" s="34"/>
      <c r="H23" s="34"/>
      <c r="I23" s="34"/>
      <c r="J23" s="32">
        <v>134.0</v>
      </c>
      <c r="K23" s="32">
        <v>2759.0</v>
      </c>
      <c r="L23" s="18" t="s">
        <v>155</v>
      </c>
    </row>
    <row r="24" ht="15.0" customHeight="1">
      <c r="A24" s="1"/>
      <c r="B24" s="21" t="s">
        <v>156</v>
      </c>
      <c r="C24" s="30"/>
      <c r="D24" s="30"/>
      <c r="E24" s="30"/>
      <c r="F24" s="34"/>
      <c r="G24" s="34"/>
      <c r="H24" s="34"/>
      <c r="I24" s="34"/>
      <c r="J24" s="32">
        <v>4586.0</v>
      </c>
      <c r="K24" s="32">
        <v>4090.0</v>
      </c>
      <c r="L24" s="18" t="s">
        <v>157</v>
      </c>
    </row>
    <row r="25" ht="15.0" customHeight="1">
      <c r="A25" s="1"/>
      <c r="B25" s="21" t="s">
        <v>158</v>
      </c>
      <c r="C25" s="30"/>
      <c r="D25" s="30"/>
      <c r="E25" s="30"/>
      <c r="F25" s="34"/>
      <c r="G25" s="34"/>
      <c r="H25" s="34"/>
      <c r="I25" s="34"/>
      <c r="J25" s="32">
        <v>3020.0</v>
      </c>
      <c r="K25" s="32">
        <v>3011.0</v>
      </c>
      <c r="L25" s="18" t="s">
        <v>159</v>
      </c>
    </row>
    <row r="26" ht="15.0" customHeight="1">
      <c r="A26" s="1"/>
      <c r="B26" s="21" t="s">
        <v>60</v>
      </c>
      <c r="C26" s="30"/>
      <c r="D26" s="30"/>
      <c r="E26" s="30"/>
      <c r="F26" s="34"/>
      <c r="G26" s="34"/>
      <c r="H26" s="34"/>
      <c r="I26" s="34"/>
      <c r="J26" s="32">
        <v>25786.0</v>
      </c>
      <c r="K26" s="32">
        <v>21039.0</v>
      </c>
      <c r="L26" s="18" t="s">
        <v>162</v>
      </c>
    </row>
    <row r="27" ht="15.0" customHeight="1">
      <c r="A27" s="1"/>
      <c r="B27" s="21" t="s">
        <v>163</v>
      </c>
      <c r="C27" s="30"/>
      <c r="D27" s="30"/>
      <c r="E27" s="30"/>
      <c r="F27" s="34"/>
      <c r="G27" s="34"/>
      <c r="H27" s="34"/>
      <c r="I27" s="34"/>
      <c r="J27" s="32">
        <v>88362.0</v>
      </c>
      <c r="K27" s="32">
        <v>92605.0</v>
      </c>
      <c r="L27" s="18" t="s">
        <v>165</v>
      </c>
    </row>
    <row r="28" ht="15.0" customHeight="1">
      <c r="A28" s="1"/>
      <c r="B28" s="21" t="s">
        <v>166</v>
      </c>
      <c r="C28" s="30"/>
      <c r="D28" s="30"/>
      <c r="E28" s="30"/>
      <c r="F28" s="34"/>
      <c r="G28" s="34"/>
      <c r="H28" s="34"/>
      <c r="I28" s="34"/>
      <c r="J28" s="32">
        <v>5714.0</v>
      </c>
      <c r="K28" s="32">
        <v>5714.0</v>
      </c>
      <c r="L28" s="18" t="s">
        <v>167</v>
      </c>
    </row>
    <row r="29" ht="15.0" customHeight="1">
      <c r="A29" s="1"/>
      <c r="B29" s="21" t="s">
        <v>168</v>
      </c>
      <c r="C29" s="30"/>
      <c r="D29" s="30"/>
      <c r="E29" s="30"/>
      <c r="F29" s="34"/>
      <c r="G29" s="34"/>
      <c r="H29" s="34"/>
      <c r="I29" s="34"/>
      <c r="J29" s="32">
        <v>14632.0</v>
      </c>
      <c r="K29" s="32">
        <v>16667.0</v>
      </c>
      <c r="L29" s="18" t="s">
        <v>169</v>
      </c>
    </row>
    <row r="30" ht="15.0" customHeight="1">
      <c r="A30" s="1"/>
      <c r="B30" s="9" t="s">
        <v>102</v>
      </c>
      <c r="C30" s="30"/>
      <c r="D30" s="30"/>
      <c r="E30" s="30"/>
      <c r="F30" s="34"/>
      <c r="G30" s="34"/>
      <c r="H30" s="34"/>
      <c r="I30" s="34"/>
      <c r="J30" s="32">
        <v>134494.0</v>
      </c>
      <c r="K30" s="32">
        <v>136379.0</v>
      </c>
      <c r="L30" s="18" t="s">
        <v>170</v>
      </c>
    </row>
    <row r="31" ht="15.0" customHeight="1">
      <c r="A31" s="1"/>
      <c r="B31" s="21" t="s">
        <v>171</v>
      </c>
      <c r="C31" s="30"/>
      <c r="D31" s="30"/>
      <c r="E31" s="30"/>
      <c r="F31" s="34"/>
      <c r="G31" s="34"/>
      <c r="H31" s="34"/>
      <c r="I31" s="34"/>
      <c r="J31" s="32">
        <v>10258.0</v>
      </c>
      <c r="K31" s="32">
        <v>6840.0</v>
      </c>
      <c r="L31" s="18" t="s">
        <v>172</v>
      </c>
    </row>
    <row r="32" ht="15.0" customHeight="1">
      <c r="A32" s="1"/>
      <c r="B32" s="21" t="s">
        <v>173</v>
      </c>
      <c r="C32" s="30"/>
      <c r="D32" s="30"/>
      <c r="E32" s="30"/>
      <c r="F32" s="34"/>
      <c r="G32" s="34"/>
      <c r="H32" s="34"/>
      <c r="I32" s="34"/>
      <c r="J32" s="32">
        <v>1851.0</v>
      </c>
      <c r="K32" s="32">
        <v>3627.0</v>
      </c>
      <c r="L32" s="18" t="s">
        <v>175</v>
      </c>
    </row>
    <row r="33" ht="15.0" customHeight="1">
      <c r="A33" s="1"/>
      <c r="B33" s="21" t="s">
        <v>176</v>
      </c>
      <c r="C33" s="30"/>
      <c r="D33" s="30"/>
      <c r="E33" s="30"/>
      <c r="F33" s="34"/>
      <c r="G33" s="34"/>
      <c r="H33" s="34"/>
      <c r="I33" s="34"/>
      <c r="J33" s="32">
        <v>14406.0</v>
      </c>
      <c r="K33" s="32">
        <v>11594.0</v>
      </c>
      <c r="L33" s="18" t="s">
        <v>178</v>
      </c>
    </row>
    <row r="34" ht="15.0" customHeight="1">
      <c r="A34" s="1"/>
      <c r="B34" s="21" t="s">
        <v>179</v>
      </c>
      <c r="C34" s="30"/>
      <c r="D34" s="30"/>
      <c r="E34" s="30"/>
      <c r="F34" s="34"/>
      <c r="G34" s="34"/>
      <c r="H34" s="34"/>
      <c r="I34" s="34"/>
      <c r="J34" s="32">
        <v>56708.0</v>
      </c>
      <c r="K34" s="32">
        <v>58751.0</v>
      </c>
      <c r="L34" s="18" t="s">
        <v>180</v>
      </c>
    </row>
    <row r="35" ht="15.0" customHeight="1">
      <c r="A35" s="1"/>
      <c r="B35" s="21" t="s">
        <v>142</v>
      </c>
      <c r="C35" s="30"/>
      <c r="D35" s="30"/>
      <c r="E35" s="30"/>
      <c r="F35" s="34"/>
      <c r="G35" s="34"/>
      <c r="H35" s="34"/>
      <c r="I35" s="34"/>
      <c r="J35" s="32">
        <v>25275.0</v>
      </c>
      <c r="K35" s="32">
        <v>26594.0</v>
      </c>
      <c r="L35" s="18" t="s">
        <v>181</v>
      </c>
    </row>
    <row r="36" ht="15.0" customHeight="1">
      <c r="A36" s="1"/>
      <c r="B36" s="9" t="s">
        <v>146</v>
      </c>
      <c r="C36" s="30"/>
      <c r="D36" s="30"/>
      <c r="E36" s="30"/>
      <c r="F36" s="34"/>
      <c r="G36" s="34"/>
      <c r="H36" s="34"/>
      <c r="I36" s="34"/>
      <c r="J36" s="32">
        <v>100533.0</v>
      </c>
      <c r="K36" s="32">
        <v>100813.0</v>
      </c>
      <c r="L36" s="18" t="s">
        <v>182</v>
      </c>
    </row>
    <row r="37" ht="15.0" customHeight="1">
      <c r="A37" s="1"/>
      <c r="B37" s="9" t="s">
        <v>152</v>
      </c>
      <c r="C37" s="30"/>
      <c r="D37" s="30"/>
      <c r="E37" s="30"/>
      <c r="F37" s="34"/>
      <c r="G37" s="34"/>
      <c r="H37" s="34"/>
      <c r="I37" s="34"/>
      <c r="J37" s="32">
        <v>33961.0</v>
      </c>
      <c r="K37" s="32">
        <v>35566.0</v>
      </c>
      <c r="L37" s="18" t="s">
        <v>183</v>
      </c>
    </row>
    <row r="38" ht="15.0" customHeight="1">
      <c r="A38" s="1"/>
      <c r="B38" s="21" t="s">
        <v>184</v>
      </c>
      <c r="C38" s="30"/>
      <c r="D38" s="30"/>
      <c r="E38" s="30"/>
      <c r="F38" s="34"/>
      <c r="G38" s="34"/>
      <c r="H38" s="34"/>
      <c r="I38" s="34"/>
      <c r="J38" s="32">
        <v>81983.0</v>
      </c>
      <c r="K38" s="32">
        <v>85345.0</v>
      </c>
      <c r="L38" s="18" t="s">
        <v>185</v>
      </c>
    </row>
    <row r="39" ht="15.0" customHeight="1">
      <c r="A39" s="1"/>
      <c r="B39" s="27" t="s">
        <v>186</v>
      </c>
      <c r="C39" s="28"/>
      <c r="D39" s="28"/>
      <c r="E39" s="28"/>
      <c r="F39" s="28"/>
      <c r="G39" s="28"/>
      <c r="H39" s="28"/>
      <c r="I39" s="28"/>
      <c r="J39" s="28"/>
      <c r="K39" s="28"/>
      <c r="L39" s="28"/>
    </row>
    <row r="40" ht="15.0" customHeight="1">
      <c r="A40" s="1"/>
      <c r="B40" s="21" t="s">
        <v>188</v>
      </c>
      <c r="C40" s="30"/>
      <c r="D40" s="30"/>
      <c r="E40" s="30"/>
      <c r="F40" s="34"/>
      <c r="G40" s="34"/>
      <c r="H40" s="32">
        <v>-9936.0</v>
      </c>
      <c r="I40" s="32">
        <v>-5000.0</v>
      </c>
      <c r="J40" s="34"/>
      <c r="K40" s="34"/>
      <c r="L40" s="18" t="s">
        <v>190</v>
      </c>
    </row>
    <row r="41" ht="15.0" customHeight="1">
      <c r="A41" s="1"/>
      <c r="B41" s="21" t="s">
        <v>191</v>
      </c>
      <c r="C41" s="30"/>
      <c r="D41" s="30"/>
      <c r="E41" s="30"/>
      <c r="F41" s="34"/>
      <c r="G41" s="34"/>
      <c r="H41" s="32">
        <v>-467.0</v>
      </c>
      <c r="I41" s="32">
        <v>-10800.0</v>
      </c>
      <c r="J41" s="34"/>
      <c r="K41" s="34"/>
      <c r="L41" s="18" t="s">
        <v>192</v>
      </c>
    </row>
    <row r="42" ht="15.0" customHeight="1">
      <c r="A42" s="1"/>
      <c r="B42" s="27" t="s">
        <v>193</v>
      </c>
      <c r="C42" s="28"/>
      <c r="D42" s="28"/>
      <c r="E42" s="28"/>
      <c r="F42" s="28"/>
      <c r="G42" s="28"/>
      <c r="H42" s="28"/>
      <c r="I42" s="28"/>
      <c r="J42" s="28"/>
      <c r="K42" s="28"/>
      <c r="L42" s="28"/>
    </row>
    <row r="43" ht="15.0" customHeight="1">
      <c r="A43" s="1"/>
      <c r="B43" s="21" t="s">
        <v>194</v>
      </c>
      <c r="C43" s="30"/>
      <c r="D43" s="30"/>
      <c r="E43" s="30"/>
      <c r="F43" s="34"/>
      <c r="G43" s="34"/>
      <c r="H43" s="34"/>
      <c r="I43" s="34"/>
      <c r="J43" s="34"/>
      <c r="K43" s="45">
        <v>3.0</v>
      </c>
      <c r="L43" s="18" t="s">
        <v>195</v>
      </c>
    </row>
    <row r="44" ht="15.0" customHeight="1">
      <c r="A44" s="1"/>
      <c r="B44" s="21" t="s">
        <v>55</v>
      </c>
      <c r="C44" s="30"/>
      <c r="D44" s="30"/>
      <c r="E44" s="30"/>
      <c r="F44" s="34"/>
      <c r="G44" s="34"/>
      <c r="H44" s="34"/>
      <c r="I44" s="34"/>
      <c r="J44" s="34"/>
      <c r="K44" s="49">
        <v>2500000.0</v>
      </c>
      <c r="L44" s="18" t="s">
        <v>198</v>
      </c>
    </row>
    <row r="45" ht="15.0" customHeight="1">
      <c r="A45" s="1"/>
      <c r="B45" s="21" t="s">
        <v>199</v>
      </c>
      <c r="C45" s="30"/>
      <c r="D45" s="30"/>
      <c r="E45" s="30"/>
      <c r="F45" s="34"/>
      <c r="G45" s="34"/>
      <c r="H45" s="34"/>
      <c r="I45" s="34"/>
      <c r="J45" s="34"/>
      <c r="K45" s="49">
        <v>21275.0</v>
      </c>
      <c r="L45" s="18" t="s">
        <v>200</v>
      </c>
    </row>
    <row r="46" ht="15.0" customHeight="1">
      <c r="A46" s="1"/>
      <c r="B46" s="21" t="s">
        <v>201</v>
      </c>
      <c r="C46" s="30"/>
      <c r="D46" s="30"/>
      <c r="E46" s="30"/>
      <c r="F46" s="34"/>
      <c r="G46" s="34"/>
      <c r="H46" s="34"/>
      <c r="I46" s="34"/>
      <c r="J46" s="34"/>
      <c r="K46" s="49">
        <v>368000.0</v>
      </c>
      <c r="L46" s="18" t="s">
        <v>202</v>
      </c>
    </row>
    <row r="47" ht="23.25" customHeight="1">
      <c r="A47" s="1"/>
      <c r="B47" s="27" t="s">
        <v>203</v>
      </c>
      <c r="C47" s="28"/>
      <c r="D47" s="28"/>
      <c r="E47" s="28"/>
      <c r="F47" s="28"/>
      <c r="G47" s="28"/>
      <c r="H47" s="28"/>
      <c r="I47" s="28"/>
      <c r="J47" s="28"/>
      <c r="K47" s="28"/>
      <c r="L47" s="28"/>
    </row>
    <row r="48" ht="15.0" customHeight="1">
      <c r="A48" s="1"/>
      <c r="B48" s="21" t="s">
        <v>205</v>
      </c>
      <c r="C48" s="30"/>
      <c r="D48" s="30"/>
      <c r="E48" s="30"/>
      <c r="F48" s="34"/>
      <c r="G48" s="34"/>
      <c r="H48" s="34"/>
      <c r="I48" s="34"/>
      <c r="J48" s="34"/>
      <c r="K48" s="49">
        <v>300000.0</v>
      </c>
      <c r="L48" s="18" t="s">
        <v>206</v>
      </c>
    </row>
    <row r="49" ht="15.0" customHeight="1">
      <c r="A49" s="1"/>
      <c r="B49" s="21" t="s">
        <v>207</v>
      </c>
      <c r="C49" s="30"/>
      <c r="D49" s="30"/>
      <c r="E49" s="30"/>
      <c r="F49" s="34"/>
      <c r="G49" s="34"/>
      <c r="H49" s="34"/>
      <c r="I49" s="34"/>
      <c r="J49" s="34"/>
      <c r="K49" s="49">
        <v>80000.0</v>
      </c>
      <c r="L49" s="18" t="s">
        <v>209</v>
      </c>
    </row>
    <row r="50" ht="15.0" customHeight="1">
      <c r="A50" s="1"/>
      <c r="B50" s="21" t="s">
        <v>210</v>
      </c>
      <c r="C50" s="30"/>
      <c r="D50" s="30"/>
      <c r="E50" s="30"/>
      <c r="F50" s="34"/>
      <c r="G50" s="34"/>
      <c r="H50" s="34"/>
      <c r="I50" s="34"/>
      <c r="J50" s="34"/>
      <c r="K50" s="49">
        <v>90000.0</v>
      </c>
      <c r="L50" s="18" t="s">
        <v>211</v>
      </c>
    </row>
    <row r="51" ht="15.0" customHeight="1">
      <c r="A51" s="1"/>
      <c r="B51" s="21" t="s">
        <v>212</v>
      </c>
      <c r="C51" s="30"/>
      <c r="D51" s="30"/>
      <c r="E51" s="30"/>
      <c r="F51" s="34"/>
      <c r="G51" s="34"/>
      <c r="H51" s="34"/>
      <c r="I51" s="34"/>
      <c r="J51" s="34"/>
      <c r="K51" s="49">
        <v>60000.0</v>
      </c>
      <c r="L51" s="18" t="s">
        <v>213</v>
      </c>
    </row>
    <row r="52" ht="15.0" customHeight="1">
      <c r="A52" s="1"/>
      <c r="B52" s="27" t="s">
        <v>214</v>
      </c>
      <c r="C52" s="28"/>
      <c r="D52" s="28"/>
      <c r="E52" s="28"/>
      <c r="F52" s="28"/>
      <c r="G52" s="28"/>
      <c r="H52" s="28"/>
      <c r="I52" s="28"/>
      <c r="J52" s="28"/>
      <c r="K52" s="28"/>
      <c r="L52" s="28"/>
    </row>
    <row r="53" ht="15.0" customHeight="1">
      <c r="A53" s="1"/>
      <c r="B53" s="21" t="s">
        <v>215</v>
      </c>
      <c r="C53" s="30"/>
      <c r="D53" s="30"/>
      <c r="E53" s="30"/>
      <c r="F53" s="34"/>
      <c r="G53" s="34"/>
      <c r="H53" s="34"/>
      <c r="I53" s="34"/>
      <c r="J53" s="34"/>
      <c r="K53" s="51">
        <v>0.043</v>
      </c>
      <c r="L53" s="18" t="s">
        <v>217</v>
      </c>
    </row>
    <row r="54" ht="15.0" customHeight="1">
      <c r="A54" s="1"/>
      <c r="B54" s="21" t="s">
        <v>218</v>
      </c>
      <c r="C54" s="30"/>
      <c r="D54" s="30"/>
      <c r="E54" s="30"/>
      <c r="F54" s="34"/>
      <c r="G54" s="34"/>
      <c r="H54" s="34"/>
      <c r="I54" s="34"/>
      <c r="J54" s="34"/>
      <c r="K54" s="51">
        <v>0.055</v>
      </c>
      <c r="L54" s="18" t="s">
        <v>219</v>
      </c>
    </row>
    <row r="55" ht="15.0" customHeight="1">
      <c r="A55" s="1"/>
      <c r="B55" s="21" t="s">
        <v>220</v>
      </c>
      <c r="C55" s="30"/>
      <c r="D55" s="30"/>
      <c r="E55" s="30"/>
      <c r="F55" s="34"/>
      <c r="G55" s="34"/>
      <c r="H55" s="34"/>
      <c r="I55" s="34"/>
      <c r="J55" s="34"/>
      <c r="K55" s="53">
        <v>1.2</v>
      </c>
      <c r="L55" s="18" t="s">
        <v>222</v>
      </c>
    </row>
    <row r="56" ht="15.0" customHeight="1">
      <c r="A56" s="1"/>
      <c r="B56" s="21" t="s">
        <v>224</v>
      </c>
      <c r="C56" s="30"/>
      <c r="D56" s="30"/>
      <c r="E56" s="30"/>
      <c r="F56" s="34"/>
      <c r="G56" s="34"/>
      <c r="H56" s="34"/>
      <c r="I56" s="34"/>
      <c r="J56" s="34"/>
      <c r="K56" s="51">
        <v>0.21</v>
      </c>
      <c r="L56" s="18" t="s">
        <v>226</v>
      </c>
    </row>
    <row r="57" ht="15.0" customHeight="1">
      <c r="A57" s="1"/>
      <c r="B57" s="21" t="s">
        <v>229</v>
      </c>
      <c r="C57" s="30"/>
      <c r="D57" s="30"/>
      <c r="E57" s="30"/>
      <c r="F57" s="34"/>
      <c r="G57" s="34"/>
      <c r="H57" s="34"/>
      <c r="I57" s="34"/>
      <c r="J57" s="34"/>
      <c r="K57" s="51">
        <v>0.09</v>
      </c>
      <c r="L57" s="18" t="s">
        <v>231</v>
      </c>
    </row>
    <row r="58" ht="15.0" customHeight="1">
      <c r="A58" s="1"/>
      <c r="B58" s="21" t="s">
        <v>232</v>
      </c>
      <c r="C58" s="30"/>
      <c r="D58" s="30"/>
      <c r="E58" s="30"/>
      <c r="F58" s="34"/>
      <c r="G58" s="34"/>
      <c r="H58" s="34"/>
      <c r="I58" s="34"/>
      <c r="J58" s="34"/>
      <c r="K58" s="51">
        <v>0.35</v>
      </c>
      <c r="L58" s="18" t="s">
        <v>233</v>
      </c>
    </row>
    <row r="59" ht="15.75" customHeight="1">
      <c r="A59" s="1"/>
      <c r="B59" s="1"/>
      <c r="C59" s="1"/>
      <c r="D59" s="1"/>
      <c r="E59" s="1"/>
      <c r="F59" s="1"/>
      <c r="G59" s="1"/>
      <c r="H59" s="1"/>
      <c r="I59" s="1"/>
      <c r="J59" s="1"/>
      <c r="K59" s="1"/>
      <c r="L59" s="1"/>
    </row>
    <row r="60" ht="15.0" customHeight="1">
      <c r="A60" s="1"/>
      <c r="B60" s="56" t="s">
        <v>234</v>
      </c>
    </row>
    <row r="61" ht="15.0" customHeight="1">
      <c r="A61" s="1"/>
      <c r="B61" s="56" t="s">
        <v>235</v>
      </c>
    </row>
    <row r="62" ht="15.0" customHeight="1">
      <c r="A62" s="1"/>
      <c r="B62" s="56" t="s">
        <v>236</v>
      </c>
    </row>
    <row r="63" ht="15.0" customHeight="1">
      <c r="A63" s="1"/>
      <c r="B63" s="56" t="s">
        <v>237</v>
      </c>
    </row>
    <row r="64" ht="15.0" customHeight="1">
      <c r="A64" s="1"/>
      <c r="B64" s="56" t="s">
        <v>238</v>
      </c>
    </row>
    <row r="65" ht="15.0" customHeight="1">
      <c r="A65" s="1"/>
      <c r="B65" s="56" t="s">
        <v>240</v>
      </c>
    </row>
    <row r="66" ht="15.0" customHeight="1">
      <c r="A66" s="1"/>
      <c r="B66" s="56" t="s">
        <v>242</v>
      </c>
    </row>
    <row r="67" ht="15.75" customHeight="1">
      <c r="A67" s="1"/>
      <c r="B67" s="1"/>
      <c r="C67" s="1"/>
      <c r="D67" s="1"/>
      <c r="E67" s="1"/>
      <c r="F67" s="1"/>
      <c r="G67" s="1"/>
      <c r="H67" s="1"/>
      <c r="I67" s="1"/>
      <c r="J67" s="1"/>
      <c r="K67" s="1"/>
      <c r="L67" s="1"/>
    </row>
    <row r="68" ht="23.25" customHeight="1">
      <c r="A68" s="1"/>
      <c r="B68" s="27" t="s">
        <v>244</v>
      </c>
      <c r="C68" s="28"/>
      <c r="D68" s="28"/>
      <c r="E68" s="28"/>
      <c r="F68" s="28"/>
      <c r="G68" s="28"/>
      <c r="H68" s="28"/>
      <c r="I68" s="28"/>
      <c r="J68" s="28"/>
      <c r="K68" s="28"/>
      <c r="L68" s="28"/>
    </row>
    <row r="69" ht="15.0" customHeight="1">
      <c r="A69" s="1"/>
      <c r="B69" s="21" t="s">
        <v>246</v>
      </c>
      <c r="C69" s="1"/>
      <c r="D69" s="1"/>
      <c r="E69" s="1"/>
      <c r="F69" s="1"/>
      <c r="G69" s="1"/>
      <c r="H69" s="1"/>
      <c r="I69" s="1"/>
      <c r="J69" s="1"/>
      <c r="K69" s="59">
        <v>16300.0</v>
      </c>
      <c r="L69" s="18" t="s">
        <v>247</v>
      </c>
    </row>
    <row r="70" ht="15.0" customHeight="1">
      <c r="A70" s="1"/>
      <c r="B70" s="21" t="s">
        <v>248</v>
      </c>
      <c r="C70" s="1"/>
      <c r="D70" s="1"/>
      <c r="E70" s="1"/>
      <c r="F70" s="1"/>
      <c r="G70" s="1"/>
      <c r="H70" s="1"/>
      <c r="I70" s="1"/>
      <c r="J70" s="1"/>
      <c r="K70" s="60">
        <v>0.45</v>
      </c>
      <c r="L70" s="18" t="s">
        <v>252</v>
      </c>
    </row>
    <row r="71" ht="15.0" customHeight="1">
      <c r="A71" s="1"/>
      <c r="B71" s="21" t="s">
        <v>253</v>
      </c>
      <c r="C71" s="1"/>
      <c r="D71" s="1"/>
      <c r="E71" s="1"/>
      <c r="F71" s="1"/>
      <c r="G71" s="1"/>
      <c r="H71" s="1"/>
      <c r="I71" s="1"/>
      <c r="J71" s="1"/>
      <c r="K71" s="60">
        <v>0.6</v>
      </c>
      <c r="L71" s="18" t="s">
        <v>255</v>
      </c>
    </row>
    <row r="72" ht="15.0" customHeight="1">
      <c r="A72" s="1"/>
      <c r="B72" s="21" t="s">
        <v>256</v>
      </c>
      <c r="C72" s="1"/>
      <c r="D72" s="1"/>
      <c r="E72" s="1"/>
      <c r="F72" s="1"/>
      <c r="G72" s="1"/>
      <c r="H72" s="1"/>
      <c r="I72" s="1"/>
      <c r="J72" s="1"/>
      <c r="K72" s="60">
        <v>0.8</v>
      </c>
      <c r="L72" s="18" t="s">
        <v>257</v>
      </c>
    </row>
    <row r="73" ht="15.0" customHeight="1">
      <c r="A73" s="1"/>
      <c r="B73" s="21" t="s">
        <v>258</v>
      </c>
      <c r="C73" s="1"/>
      <c r="D73" s="1"/>
      <c r="E73" s="1"/>
      <c r="F73" s="1"/>
      <c r="G73" s="1"/>
      <c r="H73" s="1"/>
      <c r="I73" s="1"/>
      <c r="J73" s="1"/>
      <c r="K73" s="60">
        <v>0.55</v>
      </c>
      <c r="L73" s="18" t="s">
        <v>261</v>
      </c>
    </row>
    <row r="74" ht="15.0" customHeight="1">
      <c r="A74" s="1"/>
      <c r="B74" s="21" t="s">
        <v>262</v>
      </c>
      <c r="C74" s="1"/>
      <c r="D74" s="1"/>
      <c r="E74" s="1"/>
      <c r="F74" s="1"/>
      <c r="G74" s="1"/>
      <c r="H74" s="1"/>
      <c r="I74" s="1"/>
      <c r="J74" s="1"/>
      <c r="K74" s="60">
        <v>0.4</v>
      </c>
      <c r="L74" s="18" t="s">
        <v>263</v>
      </c>
    </row>
    <row r="75" ht="15.0" customHeight="1">
      <c r="A75" s="1"/>
      <c r="B75" s="21" t="s">
        <v>264</v>
      </c>
      <c r="C75" s="1"/>
      <c r="D75" s="1"/>
      <c r="E75" s="1"/>
      <c r="F75" s="1"/>
      <c r="G75" s="1"/>
      <c r="H75" s="1"/>
      <c r="I75" s="1"/>
      <c r="J75" s="1"/>
      <c r="K75" s="60">
        <v>-0.55</v>
      </c>
      <c r="L75" s="18" t="s">
        <v>265</v>
      </c>
    </row>
    <row r="76" ht="15.0" customHeight="1">
      <c r="A76" s="1"/>
      <c r="B76" s="21" t="s">
        <v>266</v>
      </c>
      <c r="C76" s="1"/>
      <c r="D76" s="1"/>
      <c r="E76" s="1"/>
      <c r="F76" s="1"/>
      <c r="G76" s="1"/>
      <c r="H76" s="1"/>
      <c r="I76" s="1"/>
      <c r="J76" s="1"/>
      <c r="K76" s="60">
        <v>-0.25</v>
      </c>
      <c r="L76" s="18" t="s">
        <v>267</v>
      </c>
    </row>
    <row r="77" ht="15.0" customHeight="1">
      <c r="A77" s="1"/>
      <c r="B77" s="21" t="s">
        <v>268</v>
      </c>
      <c r="C77" s="1"/>
      <c r="D77" s="1"/>
      <c r="E77" s="1"/>
      <c r="F77" s="1"/>
      <c r="G77" s="1"/>
      <c r="H77" s="1"/>
      <c r="I77" s="1"/>
      <c r="J77" s="1"/>
      <c r="K77" s="60">
        <v>0.05</v>
      </c>
      <c r="L77" s="18" t="s">
        <v>269</v>
      </c>
    </row>
    <row r="78" ht="15.0" customHeight="1">
      <c r="A78" s="1"/>
      <c r="B78" s="21" t="s">
        <v>270</v>
      </c>
      <c r="C78" s="1"/>
      <c r="D78" s="1"/>
      <c r="E78" s="1"/>
      <c r="F78" s="1"/>
      <c r="G78" s="1"/>
      <c r="H78" s="1"/>
      <c r="I78" s="1"/>
      <c r="J78" s="1"/>
      <c r="K78" s="60">
        <v>0.22</v>
      </c>
      <c r="L78" s="18" t="s">
        <v>273</v>
      </c>
    </row>
    <row r="79" ht="15.0" customHeight="1">
      <c r="A79" s="1"/>
      <c r="B79" s="21" t="s">
        <v>274</v>
      </c>
      <c r="C79" s="1"/>
      <c r="D79" s="1"/>
      <c r="E79" s="1"/>
      <c r="F79" s="1"/>
      <c r="G79" s="1"/>
      <c r="H79" s="1"/>
      <c r="I79" s="1"/>
      <c r="J79" s="1"/>
      <c r="K79" s="60">
        <v>0.35</v>
      </c>
      <c r="L79" s="18" t="s">
        <v>275</v>
      </c>
    </row>
    <row r="80" ht="15.0" customHeight="1">
      <c r="A80" s="1"/>
      <c r="B80" s="21" t="s">
        <v>232</v>
      </c>
      <c r="C80" s="1"/>
      <c r="D80" s="1"/>
      <c r="E80" s="1"/>
      <c r="F80" s="1"/>
      <c r="G80" s="1"/>
      <c r="H80" s="1"/>
      <c r="I80" s="1"/>
      <c r="J80" s="1"/>
      <c r="K80" s="60">
        <v>0.35</v>
      </c>
      <c r="L80" s="18" t="s">
        <v>276</v>
      </c>
    </row>
    <row r="81" ht="15.0" customHeight="1">
      <c r="A81" s="1"/>
      <c r="B81" s="21" t="s">
        <v>277</v>
      </c>
      <c r="C81" s="1"/>
      <c r="D81" s="1"/>
      <c r="E81" s="1"/>
      <c r="F81" s="1"/>
      <c r="G81" s="1"/>
      <c r="H81" s="1"/>
      <c r="I81" s="1"/>
      <c r="J81" s="1"/>
      <c r="K81" s="60">
        <v>0.06</v>
      </c>
      <c r="L81" s="18" t="s">
        <v>278</v>
      </c>
    </row>
    <row r="82" ht="15.0" customHeight="1">
      <c r="A82" s="1"/>
      <c r="B82" s="21" t="s">
        <v>280</v>
      </c>
      <c r="C82" s="1"/>
      <c r="D82" s="1"/>
      <c r="E82" s="1"/>
      <c r="F82" s="1"/>
      <c r="G82" s="1"/>
      <c r="H82" s="1"/>
      <c r="I82" s="1"/>
      <c r="J82" s="1"/>
      <c r="K82" s="60">
        <v>0.3</v>
      </c>
      <c r="L82" s="18" t="s">
        <v>282</v>
      </c>
    </row>
    <row r="83" ht="15.0" customHeight="1">
      <c r="A83" s="1"/>
      <c r="B83" s="21" t="s">
        <v>283</v>
      </c>
      <c r="C83" s="1"/>
      <c r="D83" s="1"/>
      <c r="E83" s="1"/>
      <c r="F83" s="1"/>
      <c r="G83" s="1"/>
      <c r="H83" s="1"/>
      <c r="I83" s="1"/>
      <c r="J83" s="1"/>
      <c r="K83" s="60">
        <v>0.1</v>
      </c>
      <c r="L83" s="18" t="s">
        <v>284</v>
      </c>
    </row>
    <row r="84" ht="15.0" customHeight="1">
      <c r="A84" s="1"/>
      <c r="B84" s="21" t="s">
        <v>285</v>
      </c>
      <c r="C84" s="1"/>
      <c r="D84" s="1"/>
      <c r="E84" s="1"/>
      <c r="F84" s="1"/>
      <c r="G84" s="1"/>
      <c r="H84" s="1"/>
      <c r="I84" s="1"/>
      <c r="J84" s="1"/>
      <c r="K84" s="60">
        <v>0.08</v>
      </c>
      <c r="L84" s="18" t="s">
        <v>287</v>
      </c>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3">
    <mergeCell ref="B61:L61"/>
    <mergeCell ref="B62:L62"/>
    <mergeCell ref="B63:L63"/>
    <mergeCell ref="B64:L64"/>
    <mergeCell ref="B65:L65"/>
    <mergeCell ref="B66:L66"/>
    <mergeCell ref="B2:L2"/>
    <mergeCell ref="B3:L3"/>
    <mergeCell ref="C5:E5"/>
    <mergeCell ref="F5:G5"/>
    <mergeCell ref="H5:I5"/>
    <mergeCell ref="J5:K5"/>
    <mergeCell ref="B60:L6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0" width="11.0"/>
    <col customWidth="1" min="11" max="26" width="8.71"/>
  </cols>
  <sheetData>
    <row r="1">
      <c r="A1" s="1"/>
      <c r="B1" s="1"/>
      <c r="C1" s="1"/>
      <c r="D1" s="1"/>
      <c r="E1" s="1"/>
      <c r="F1" s="1"/>
      <c r="G1" s="1"/>
      <c r="H1" s="1"/>
      <c r="I1" s="1"/>
      <c r="J1" s="1"/>
    </row>
    <row r="2" ht="21.75" customHeight="1">
      <c r="A2" s="1"/>
      <c r="B2" s="6" t="s">
        <v>1</v>
      </c>
      <c r="C2" s="3"/>
      <c r="D2" s="3"/>
      <c r="E2" s="3"/>
      <c r="F2" s="3"/>
      <c r="G2" s="3"/>
      <c r="H2" s="3"/>
      <c r="I2" s="3"/>
      <c r="J2" s="4"/>
    </row>
    <row r="3" ht="25.5" customHeight="1">
      <c r="A3" s="1"/>
      <c r="B3" s="5" t="s">
        <v>7</v>
      </c>
    </row>
    <row r="4">
      <c r="A4" s="1"/>
      <c r="B4" s="1"/>
      <c r="C4" s="1"/>
      <c r="D4" s="1"/>
      <c r="E4" s="1"/>
      <c r="F4" s="1"/>
      <c r="G4" s="1"/>
      <c r="H4" s="1"/>
      <c r="I4" s="1"/>
      <c r="J4" s="1"/>
    </row>
    <row r="5" ht="15.0" customHeight="1">
      <c r="A5" s="1"/>
      <c r="B5" s="1"/>
      <c r="C5" s="11" t="s">
        <v>10</v>
      </c>
      <c r="D5" s="13"/>
      <c r="E5" s="14"/>
      <c r="F5" s="17" t="s">
        <v>16</v>
      </c>
      <c r="G5" s="13"/>
      <c r="H5" s="14"/>
      <c r="I5" s="20" t="s">
        <v>20</v>
      </c>
      <c r="J5" s="13"/>
      <c r="K5" s="22"/>
    </row>
    <row r="6" ht="15.0" customHeight="1">
      <c r="A6" s="1"/>
      <c r="B6" s="12" t="s">
        <v>23</v>
      </c>
      <c r="C6" s="12" t="s">
        <v>25</v>
      </c>
      <c r="D6" s="12" t="s">
        <v>27</v>
      </c>
      <c r="E6" s="12" t="s">
        <v>29</v>
      </c>
      <c r="F6" s="12" t="s">
        <v>30</v>
      </c>
      <c r="G6" s="12" t="s">
        <v>31</v>
      </c>
      <c r="H6" s="12" t="s">
        <v>33</v>
      </c>
      <c r="I6" s="12" t="s">
        <v>34</v>
      </c>
      <c r="J6" s="12" t="s">
        <v>35</v>
      </c>
      <c r="K6" s="12" t="s">
        <v>33</v>
      </c>
    </row>
    <row r="7" ht="15.0" customHeight="1">
      <c r="A7" s="1"/>
      <c r="B7" s="9" t="s">
        <v>37</v>
      </c>
      <c r="C7" s="26" t="str">
        <f>DATOS!C8</f>
        <v/>
      </c>
      <c r="D7" s="26">
        <f>DATOS!D8</f>
        <v>4500</v>
      </c>
      <c r="E7" s="26">
        <f>DATOS!E8</f>
        <v>16300</v>
      </c>
      <c r="F7" s="26">
        <f>DATOS!F8</f>
        <v>513</v>
      </c>
      <c r="G7" s="26">
        <f>DATOS!G8</f>
        <v>4126</v>
      </c>
      <c r="H7" s="35">
        <f>IFERROR((DATOS!G8-DATOS!F8)/ABS(DATOS!F8),"—")</f>
        <v>7.04288499</v>
      </c>
      <c r="I7" s="26">
        <f>DATOS!H8</f>
        <v>1634</v>
      </c>
      <c r="J7" s="26">
        <f>DATOS!I8</f>
        <v>7080</v>
      </c>
      <c r="K7" s="35">
        <f>IFERROR((DATOS!I8-DATOS!H8)/ABS(DATOS!H8),"—")</f>
        <v>3.332925337</v>
      </c>
    </row>
    <row r="8" ht="15.0" customHeight="1">
      <c r="A8" s="1"/>
      <c r="B8" s="21" t="s">
        <v>91</v>
      </c>
      <c r="C8" s="24" t="str">
        <f>DATOS!C9</f>
        <v/>
      </c>
      <c r="D8" s="24" t="str">
        <f>DATOS!D9</f>
        <v/>
      </c>
      <c r="E8" s="24" t="str">
        <f>DATOS!E9</f>
        <v/>
      </c>
      <c r="F8" s="24">
        <f>DATOS!F9</f>
        <v>350</v>
      </c>
      <c r="G8" s="24">
        <f>DATOS!G9</f>
        <v>431</v>
      </c>
      <c r="H8" s="35">
        <f>IFERROR((DATOS!G9-DATOS!F9)/ABS(DATOS!F9),"—")</f>
        <v>0.2314285714</v>
      </c>
      <c r="I8" s="24">
        <f>DATOS!H9</f>
        <v>986</v>
      </c>
      <c r="J8" s="24">
        <f>DATOS!I9</f>
        <v>996</v>
      </c>
      <c r="K8" s="35">
        <f>IFERROR((DATOS!I9-DATOS!H9)/ABS(DATOS!H9),"—")</f>
        <v>0.01014198783</v>
      </c>
    </row>
    <row r="9" ht="15.0" customHeight="1">
      <c r="A9" s="1"/>
      <c r="B9" s="21" t="s">
        <v>148</v>
      </c>
      <c r="C9" s="24" t="str">
        <f>DATOS!C10</f>
        <v/>
      </c>
      <c r="D9" s="24" t="str">
        <f>DATOS!D10</f>
        <v/>
      </c>
      <c r="E9" s="24" t="str">
        <f>DATOS!E10</f>
        <v/>
      </c>
      <c r="F9" s="24">
        <f>DATOS!F10</f>
        <v>163</v>
      </c>
      <c r="G9" s="24">
        <f>DATOS!G10</f>
        <v>3695</v>
      </c>
      <c r="H9" s="35">
        <f>IFERROR((DATOS!G10-DATOS!F10)/ABS(DATOS!F10),"—")</f>
        <v>21.66871166</v>
      </c>
      <c r="I9" s="24">
        <f>DATOS!H10</f>
        <v>648</v>
      </c>
      <c r="J9" s="24">
        <f>DATOS!I10</f>
        <v>6084</v>
      </c>
      <c r="K9" s="35">
        <f>IFERROR((DATOS!I10-DATOS!H10)/ABS(DATOS!H10),"—")</f>
        <v>8.388888889</v>
      </c>
    </row>
    <row r="10" ht="15.0" customHeight="1">
      <c r="A10" s="1"/>
      <c r="B10" s="21" t="s">
        <v>82</v>
      </c>
      <c r="C10" s="24" t="str">
        <f>DATOS!C11</f>
        <v/>
      </c>
      <c r="D10" s="24" t="str">
        <f>DATOS!D11</f>
        <v/>
      </c>
      <c r="E10" s="24" t="str">
        <f>DATOS!E11</f>
        <v/>
      </c>
      <c r="F10" s="24">
        <f>DATOS!F11</f>
        <v>852</v>
      </c>
      <c r="G10" s="24">
        <f>DATOS!G11</f>
        <v>2665</v>
      </c>
      <c r="H10" s="35">
        <f>IFERROR((DATOS!G11-DATOS!F11)/ABS(DATOS!F11),"—")</f>
        <v>2.127934272</v>
      </c>
      <c r="I10" s="24">
        <f>DATOS!H11</f>
        <v>1856</v>
      </c>
      <c r="J10" s="24">
        <f>DATOS!I11</f>
        <v>4743</v>
      </c>
      <c r="K10" s="35">
        <f>IFERROR((DATOS!I11-DATOS!H11)/ABS(DATOS!H11),"—")</f>
        <v>1.55549569</v>
      </c>
    </row>
    <row r="11" ht="15.0" customHeight="1">
      <c r="A11" s="1"/>
      <c r="B11" s="9" t="s">
        <v>89</v>
      </c>
      <c r="C11" s="26" t="str">
        <f>DATOS!C12</f>
        <v/>
      </c>
      <c r="D11" s="26" t="str">
        <f>DATOS!D12</f>
        <v/>
      </c>
      <c r="E11" s="26" t="str">
        <f>DATOS!E12</f>
        <v/>
      </c>
      <c r="F11" s="26">
        <f>DATOS!F12</f>
        <v>-339</v>
      </c>
      <c r="G11" s="26">
        <f>DATOS!G12</f>
        <v>1461</v>
      </c>
      <c r="H11" s="35">
        <f>IFERROR((DATOS!G12-DATOS!F12)/ABS(DATOS!F12),"—")</f>
        <v>5.309734513</v>
      </c>
      <c r="I11" s="26">
        <f>DATOS!H12</f>
        <v>-222</v>
      </c>
      <c r="J11" s="26">
        <f>DATOS!I12</f>
        <v>2337</v>
      </c>
      <c r="K11" s="35">
        <f>IFERROR((DATOS!I12-DATOS!H12)/ABS(DATOS!H12),"—")</f>
        <v>11.52702703</v>
      </c>
    </row>
    <row r="12" ht="15.0" customHeight="1">
      <c r="A12" s="1"/>
      <c r="B12" s="21" t="s">
        <v>95</v>
      </c>
      <c r="C12" s="24" t="str">
        <f>DATOS!C13</f>
        <v/>
      </c>
      <c r="D12" s="24" t="str">
        <f>DATOS!D13</f>
        <v/>
      </c>
      <c r="E12" s="24" t="str">
        <f>DATOS!E13</f>
        <v/>
      </c>
      <c r="F12" s="24">
        <f>DATOS!F13</f>
        <v>6305</v>
      </c>
      <c r="G12" s="24">
        <f>DATOS!G13</f>
        <v>6935</v>
      </c>
      <c r="H12" s="35">
        <f>IFERROR((DATOS!G13-DATOS!F13)/ABS(DATOS!F13),"—")</f>
        <v>0.09992069786</v>
      </c>
      <c r="I12" s="24">
        <f>DATOS!H13</f>
        <v>11035</v>
      </c>
      <c r="J12" s="24">
        <f>DATOS!I13</f>
        <v>15042</v>
      </c>
      <c r="K12" s="35">
        <f>IFERROR((DATOS!I13-DATOS!H13)/ABS(DATOS!H13),"—")</f>
        <v>0.3631173539</v>
      </c>
    </row>
    <row r="13" ht="15.0" customHeight="1">
      <c r="A13" s="1"/>
      <c r="B13" s="9" t="s">
        <v>100</v>
      </c>
      <c r="C13" s="26" t="str">
        <f>DATOS!C14</f>
        <v/>
      </c>
      <c r="D13" s="26" t="str">
        <f>DATOS!D14</f>
        <v/>
      </c>
      <c r="E13" s="26" t="str">
        <f>DATOS!E14</f>
        <v/>
      </c>
      <c r="F13" s="26">
        <f>DATOS!F14</f>
        <v>-6949</v>
      </c>
      <c r="G13" s="26">
        <f>DATOS!G14</f>
        <v>-5777</v>
      </c>
      <c r="H13" s="35">
        <f>IFERROR((DATOS!G14-DATOS!F14)/ABS(DATOS!F14),"—")</f>
        <v>0.1686573608</v>
      </c>
      <c r="I13" s="26">
        <f>DATOS!H14</f>
        <v>-11857</v>
      </c>
      <c r="J13" s="26">
        <f>DATOS!I14</f>
        <v>-13310</v>
      </c>
      <c r="K13" s="35">
        <f>IFERROR((DATOS!I14-DATOS!H14)/ABS(DATOS!H14),"—")</f>
        <v>-0.1225436451</v>
      </c>
    </row>
    <row r="14" ht="15.0" customHeight="1">
      <c r="A14" s="1"/>
      <c r="B14" s="21" t="s">
        <v>254</v>
      </c>
      <c r="C14" s="24" t="str">
        <f>DATOS!C15</f>
        <v/>
      </c>
      <c r="D14" s="24" t="str">
        <f>DATOS!D15</f>
        <v/>
      </c>
      <c r="E14" s="24" t="str">
        <f>DATOS!E15</f>
        <v/>
      </c>
      <c r="F14" s="24">
        <f>DATOS!F15</f>
        <v>-1921</v>
      </c>
      <c r="G14" s="24">
        <f>DATOS!G15</f>
        <v>-1951</v>
      </c>
      <c r="H14" s="35">
        <f>IFERROR((DATOS!G15-DATOS!F15)/ABS(DATOS!F15),"—")</f>
        <v>-0.01561686622</v>
      </c>
      <c r="I14" s="24">
        <f>DATOS!H15</f>
        <v>-3860</v>
      </c>
      <c r="J14" s="24">
        <f>DATOS!I15</f>
        <v>-4008</v>
      </c>
      <c r="K14" s="35">
        <f>IFERROR((DATOS!I15-DATOS!H15)/ABS(DATOS!H15),"—")</f>
        <v>-0.03834196891</v>
      </c>
    </row>
    <row r="15" ht="15.0" customHeight="1">
      <c r="A15" s="1"/>
      <c r="B15" s="9" t="s">
        <v>121</v>
      </c>
      <c r="C15" s="26" t="str">
        <f>DATOS!C16</f>
        <v/>
      </c>
      <c r="D15" s="26">
        <f>DATOS!D16</f>
        <v>-30000</v>
      </c>
      <c r="E15" s="26">
        <f>DATOS!E16</f>
        <v>-39200</v>
      </c>
      <c r="F15" s="26">
        <f>DATOS!F16</f>
        <v>-8872</v>
      </c>
      <c r="G15" s="26">
        <f>DATOS!G16</f>
        <v>-7730</v>
      </c>
      <c r="H15" s="35">
        <f>IFERROR((DATOS!G16-DATOS!F16)/ABS(DATOS!F16),"—")</f>
        <v>0.1287195672</v>
      </c>
      <c r="I15" s="26">
        <f>DATOS!H16</f>
        <v>-15722</v>
      </c>
      <c r="J15" s="26">
        <f>DATOS!I16</f>
        <v>-17323</v>
      </c>
      <c r="K15" s="35">
        <f>IFERROR((DATOS!I16-DATOS!H16)/ABS(DATOS!H16),"—")</f>
        <v>-0.101831828</v>
      </c>
    </row>
    <row r="16" ht="15.0" customHeight="1">
      <c r="A16" s="1"/>
      <c r="B16" s="21" t="s">
        <v>294</v>
      </c>
      <c r="C16" s="24" t="str">
        <f>DATOS!C17</f>
        <v/>
      </c>
      <c r="D16" s="24" t="str">
        <f>DATOS!D17</f>
        <v/>
      </c>
      <c r="E16" s="24" t="str">
        <f>DATOS!E17</f>
        <v/>
      </c>
      <c r="F16" s="24">
        <f>DATOS!F17</f>
        <v>-1288</v>
      </c>
      <c r="G16" s="24">
        <f>DATOS!G17</f>
        <v>-1288</v>
      </c>
      <c r="H16" s="35">
        <f>IFERROR((DATOS!G17-DATOS!F17)/ABS(DATOS!F17),"—")</f>
        <v>0</v>
      </c>
      <c r="I16" s="24">
        <f>DATOS!H17</f>
        <v>-2553</v>
      </c>
      <c r="J16" s="24">
        <f>DATOS!I17</f>
        <v>-2553</v>
      </c>
      <c r="K16" s="35">
        <f>IFERROR((DATOS!I17-DATOS!H17)/ABS(DATOS!H17),"—")</f>
        <v>0</v>
      </c>
    </row>
    <row r="17" ht="15.0" customHeight="1">
      <c r="A17" s="1"/>
      <c r="B17" s="21" t="s">
        <v>140</v>
      </c>
      <c r="C17" s="24" t="str">
        <f>DATOS!C19</f>
        <v/>
      </c>
      <c r="D17" s="24" t="str">
        <f>DATOS!D19</f>
        <v/>
      </c>
      <c r="E17" s="24" t="str">
        <f>DATOS!E19</f>
        <v/>
      </c>
      <c r="F17" s="24">
        <f>DATOS!F19</f>
        <v>-0.15</v>
      </c>
      <c r="G17" s="24">
        <f>DATOS!G19</f>
        <v>-0.11</v>
      </c>
      <c r="H17" s="35">
        <f>IFERROR((DATOS!G19-DATOS!F19)/ABS(DATOS!F19),"—")</f>
        <v>0.2666666667</v>
      </c>
      <c r="I17" s="24">
        <f>DATOS!H19</f>
        <v>-0.27</v>
      </c>
      <c r="J17" s="24">
        <f>DATOS!I19</f>
        <v>-0.25</v>
      </c>
      <c r="K17" s="35">
        <f>IFERROR((DATOS!I19-DATOS!H19)/ABS(DATOS!H19),"—")</f>
        <v>0.07407407407</v>
      </c>
    </row>
    <row r="18">
      <c r="A18" s="1"/>
      <c r="B18" s="1"/>
      <c r="C18" s="1"/>
      <c r="D18" s="1"/>
      <c r="E18" s="1"/>
      <c r="F18" s="1"/>
      <c r="G18" s="1"/>
      <c r="H18" s="1"/>
      <c r="I18" s="1"/>
      <c r="J18" s="1"/>
    </row>
    <row r="19" ht="91.5" customHeight="1">
      <c r="A19" s="1"/>
      <c r="B19" s="50" t="s">
        <v>301</v>
      </c>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6">
    <mergeCell ref="B2:J2"/>
    <mergeCell ref="B3:J3"/>
    <mergeCell ref="C5:E5"/>
    <mergeCell ref="F5:H5"/>
    <mergeCell ref="I5:K5"/>
    <mergeCell ref="B19:K1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42.0"/>
    <col customWidth="1" min="3" max="4" width="13.0"/>
    <col customWidth="1" min="5" max="5" width="48.0"/>
    <col customWidth="1" min="6" max="26" width="8.71"/>
  </cols>
  <sheetData>
    <row r="1">
      <c r="A1" s="1"/>
      <c r="B1" s="1"/>
      <c r="C1" s="1"/>
      <c r="D1" s="1"/>
      <c r="E1" s="1"/>
    </row>
    <row r="2" ht="21.75" customHeight="1">
      <c r="A2" s="1"/>
      <c r="B2" s="6" t="s">
        <v>2</v>
      </c>
      <c r="C2" s="3"/>
      <c r="D2" s="3"/>
      <c r="E2" s="4"/>
    </row>
    <row r="3" ht="15.0" customHeight="1">
      <c r="A3" s="1"/>
      <c r="B3" s="5" t="s">
        <v>6</v>
      </c>
    </row>
    <row r="4">
      <c r="A4" s="1"/>
      <c r="B4" s="1"/>
      <c r="C4" s="1"/>
      <c r="D4" s="1"/>
      <c r="E4" s="1"/>
    </row>
    <row r="5" ht="15.0" customHeight="1">
      <c r="A5" s="1"/>
      <c r="B5" s="10" t="s">
        <v>9</v>
      </c>
      <c r="C5" s="12" t="s">
        <v>11</v>
      </c>
      <c r="D5" s="12" t="s">
        <v>13</v>
      </c>
      <c r="E5" s="10" t="s">
        <v>14</v>
      </c>
    </row>
    <row r="6" ht="15.0" customHeight="1">
      <c r="A6" s="1"/>
      <c r="B6" s="15" t="s">
        <v>15</v>
      </c>
      <c r="C6" s="8"/>
      <c r="D6" s="8"/>
      <c r="E6" s="8"/>
    </row>
    <row r="7" ht="15.0" customHeight="1">
      <c r="A7" s="1"/>
      <c r="B7" s="21" t="s">
        <v>19</v>
      </c>
      <c r="C7" s="24">
        <f>DATOS!J22</f>
        <v>17292</v>
      </c>
      <c r="D7" s="24">
        <f>DATOS!K22</f>
        <v>13205</v>
      </c>
      <c r="E7" s="18" t="s">
        <v>48</v>
      </c>
    </row>
    <row r="8" ht="15.0" customHeight="1">
      <c r="A8" s="1"/>
      <c r="B8" s="21" t="s">
        <v>52</v>
      </c>
      <c r="C8" s="24">
        <f>DATOS!J24</f>
        <v>4586</v>
      </c>
      <c r="D8" s="24">
        <f>DATOS!K24</f>
        <v>4090</v>
      </c>
      <c r="E8" s="18"/>
    </row>
    <row r="9" ht="15.0" customHeight="1">
      <c r="A9" s="1"/>
      <c r="B9" s="21" t="s">
        <v>56</v>
      </c>
      <c r="C9" s="24">
        <f>DATOS!J25</f>
        <v>3020</v>
      </c>
      <c r="D9" s="24">
        <f>DATOS!K25</f>
        <v>3011</v>
      </c>
      <c r="E9" s="18"/>
    </row>
    <row r="10" ht="15.0" customHeight="1">
      <c r="A10" s="1"/>
      <c r="B10" s="9" t="s">
        <v>60</v>
      </c>
      <c r="C10" s="26">
        <f>DATOS!J26</f>
        <v>25786</v>
      </c>
      <c r="D10" s="26">
        <f>DATOS!K26</f>
        <v>21039</v>
      </c>
      <c r="E10" s="18"/>
    </row>
    <row r="11" ht="15.0" customHeight="1">
      <c r="A11" s="1"/>
      <c r="B11" s="9" t="s">
        <v>64</v>
      </c>
      <c r="C11" s="37">
        <f>DATOS!J27</f>
        <v>88362</v>
      </c>
      <c r="D11" s="37">
        <f>DATOS!K27</f>
        <v>92605</v>
      </c>
      <c r="E11" s="18" t="s">
        <v>77</v>
      </c>
    </row>
    <row r="12" ht="15.0" customHeight="1">
      <c r="A12" s="1"/>
      <c r="B12" s="21" t="s">
        <v>92</v>
      </c>
      <c r="C12" s="24">
        <f>DATOS!J28</f>
        <v>5714</v>
      </c>
      <c r="D12" s="24">
        <f>DATOS!K28</f>
        <v>5714</v>
      </c>
      <c r="E12" s="18" t="s">
        <v>98</v>
      </c>
    </row>
    <row r="13" ht="15.0" customHeight="1">
      <c r="A13" s="1"/>
      <c r="B13" s="9" t="s">
        <v>102</v>
      </c>
      <c r="C13" s="26">
        <f>DATOS!J30</f>
        <v>134494</v>
      </c>
      <c r="D13" s="26">
        <f>DATOS!K30</f>
        <v>136379</v>
      </c>
      <c r="E13" s="18"/>
    </row>
    <row r="14" ht="15.0" customHeight="1">
      <c r="A14" s="1"/>
      <c r="B14" s="15" t="s">
        <v>119</v>
      </c>
      <c r="C14" s="8"/>
      <c r="D14" s="8"/>
      <c r="E14" s="8"/>
    </row>
    <row r="15" ht="15.0" customHeight="1">
      <c r="A15" s="1"/>
      <c r="B15" s="21" t="s">
        <v>125</v>
      </c>
      <c r="C15" s="24">
        <f>DATOS!J31</f>
        <v>10258</v>
      </c>
      <c r="D15" s="24">
        <f>DATOS!K31</f>
        <v>6840</v>
      </c>
      <c r="E15" s="18"/>
    </row>
    <row r="16" ht="15.0" customHeight="1">
      <c r="A16" s="1"/>
      <c r="B16" s="21" t="s">
        <v>137</v>
      </c>
      <c r="C16" s="44">
        <f>DATOS!J34</f>
        <v>56708</v>
      </c>
      <c r="D16" s="44">
        <f>DATOS!K34</f>
        <v>58751</v>
      </c>
      <c r="E16" s="18" t="s">
        <v>141</v>
      </c>
    </row>
    <row r="17" ht="15.0" customHeight="1">
      <c r="A17" s="1"/>
      <c r="B17" s="21" t="s">
        <v>142</v>
      </c>
      <c r="C17" s="44">
        <f>DATOS!J35</f>
        <v>25275</v>
      </c>
      <c r="D17" s="44">
        <f>DATOS!K35</f>
        <v>26594</v>
      </c>
      <c r="E17" s="18" t="s">
        <v>145</v>
      </c>
    </row>
    <row r="18" ht="15.0" customHeight="1">
      <c r="A18" s="1"/>
      <c r="B18" s="9" t="s">
        <v>146</v>
      </c>
      <c r="C18" s="26">
        <f>DATOS!J36</f>
        <v>100533</v>
      </c>
      <c r="D18" s="26">
        <f>DATOS!K36</f>
        <v>100813</v>
      </c>
      <c r="E18" s="18" t="s">
        <v>151</v>
      </c>
    </row>
    <row r="19" ht="15.0" customHeight="1">
      <c r="A19" s="1"/>
      <c r="B19" s="9" t="s">
        <v>152</v>
      </c>
      <c r="C19" s="26">
        <f>DATOS!J37</f>
        <v>33961</v>
      </c>
      <c r="D19" s="26">
        <f>DATOS!K37</f>
        <v>35566</v>
      </c>
      <c r="E19" s="18" t="s">
        <v>160</v>
      </c>
    </row>
    <row r="20">
      <c r="A20" s="1"/>
      <c r="B20" s="1"/>
      <c r="C20" s="1"/>
      <c r="D20" s="1"/>
      <c r="E20" s="1"/>
    </row>
    <row r="21" ht="15.0" customHeight="1">
      <c r="A21" s="1"/>
      <c r="B21" s="15" t="s">
        <v>161</v>
      </c>
      <c r="C21" s="8"/>
      <c r="D21" s="8"/>
      <c r="E21" s="8"/>
    </row>
    <row r="22" ht="15.0" customHeight="1">
      <c r="A22" s="1"/>
      <c r="B22" s="21" t="s">
        <v>164</v>
      </c>
      <c r="C22" s="47">
        <f>IFERROR(DATOS!J38/DATOS!J37,"n/d")</f>
        <v>2.414033745</v>
      </c>
      <c r="D22" s="47">
        <f>IFERROR(DATOS!K38/DATOS!K37,"n/d")</f>
        <v>2.399623236</v>
      </c>
      <c r="E22" s="18" t="s">
        <v>174</v>
      </c>
    </row>
    <row r="23" ht="15.0" customHeight="1">
      <c r="A23" s="1"/>
      <c r="B23" s="21" t="s">
        <v>177</v>
      </c>
      <c r="C23" s="48">
        <f>IFERROR(DATOS!J26/DATOS!J33,"n/d")</f>
        <v>1.789948633</v>
      </c>
      <c r="D23" s="48">
        <f>IFERROR(DATOS!K26/DATOS!K33,"n/d")</f>
        <v>1.814645506</v>
      </c>
      <c r="E23" s="18" t="s">
        <v>187</v>
      </c>
    </row>
    <row r="24" ht="15.0" customHeight="1">
      <c r="A24" s="1"/>
      <c r="B24" s="21" t="s">
        <v>189</v>
      </c>
      <c r="C24" s="35">
        <f>IFERROR(DATOS!J22/DATOS!J38,"n/d")</f>
        <v>0.2109217765</v>
      </c>
      <c r="D24" s="35">
        <f>IFERROR(DATOS!K22/DATOS!K38,"n/d")</f>
        <v>0.1547249399</v>
      </c>
      <c r="E24" s="18" t="s">
        <v>196</v>
      </c>
    </row>
    <row r="25" ht="15.0" customHeight="1">
      <c r="A25" s="1"/>
      <c r="B25" s="21" t="s">
        <v>197</v>
      </c>
      <c r="C25" s="35">
        <f>IFERROR(DATOS!J37/DATOS!J30,"n/d")</f>
        <v>0.2525094056</v>
      </c>
      <c r="D25" s="35">
        <f>IFERROR(DATOS!K37/DATOS!K30,"n/d")</f>
        <v>0.2607879512</v>
      </c>
      <c r="E25" s="18" t="s">
        <v>204</v>
      </c>
    </row>
    <row r="26" ht="15.75" customHeight="1">
      <c r="A26" s="1"/>
      <c r="B26" s="1"/>
      <c r="C26" s="1"/>
      <c r="D26" s="1"/>
      <c r="E26" s="1"/>
    </row>
    <row r="27" ht="103.5" customHeight="1">
      <c r="A27" s="1"/>
      <c r="B27" s="50" t="s">
        <v>208</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7:E2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8.0"/>
    <col customWidth="1" min="3" max="4" width="14.0"/>
    <col customWidth="1" min="5" max="5" width="52.0"/>
    <col customWidth="1" min="6" max="26" width="8.71"/>
  </cols>
  <sheetData>
    <row r="1">
      <c r="A1" s="1"/>
      <c r="B1" s="1"/>
      <c r="C1" s="1"/>
      <c r="D1" s="1"/>
      <c r="E1" s="1"/>
    </row>
    <row r="2" ht="24.0" customHeight="1">
      <c r="A2" s="1"/>
      <c r="B2" s="52" t="s">
        <v>216</v>
      </c>
      <c r="C2" s="3"/>
      <c r="D2" s="3"/>
      <c r="E2" s="4"/>
    </row>
    <row r="3" ht="25.5" customHeight="1">
      <c r="A3" s="1"/>
      <c r="B3" s="5" t="s">
        <v>221</v>
      </c>
    </row>
    <row r="4">
      <c r="A4" s="1"/>
      <c r="B4" s="1"/>
      <c r="C4" s="1"/>
      <c r="D4" s="1"/>
      <c r="E4" s="1"/>
    </row>
    <row r="5" ht="15.0" customHeight="1">
      <c r="A5" s="1"/>
      <c r="B5" s="10" t="s">
        <v>223</v>
      </c>
      <c r="C5" s="12" t="s">
        <v>225</v>
      </c>
      <c r="D5" s="12" t="s">
        <v>227</v>
      </c>
      <c r="E5" s="10" t="s">
        <v>228</v>
      </c>
    </row>
    <row r="6" ht="15.0" customHeight="1">
      <c r="A6" s="1"/>
      <c r="B6" s="54" t="s">
        <v>230</v>
      </c>
      <c r="C6" s="55"/>
      <c r="D6" s="55"/>
      <c r="E6" s="55"/>
    </row>
    <row r="7" ht="15.0" customHeight="1">
      <c r="A7" s="1"/>
      <c r="B7" s="21" t="s">
        <v>55</v>
      </c>
      <c r="C7" s="57">
        <f>DATOS!K44</f>
        <v>2500000</v>
      </c>
      <c r="D7" s="57">
        <f>DATOS!K44</f>
        <v>2500000</v>
      </c>
      <c r="E7" s="36" t="s">
        <v>239</v>
      </c>
    </row>
    <row r="8" ht="15.0" customHeight="1">
      <c r="A8" s="1"/>
      <c r="B8" s="21" t="s">
        <v>241</v>
      </c>
      <c r="C8" s="57">
        <f>DATOS!K45</f>
        <v>21275</v>
      </c>
      <c r="D8" s="57">
        <f>DATOS!K45</f>
        <v>21275</v>
      </c>
      <c r="E8" s="36" t="s">
        <v>243</v>
      </c>
    </row>
    <row r="9" ht="15.0" customHeight="1">
      <c r="A9" s="1"/>
      <c r="B9" s="21" t="s">
        <v>245</v>
      </c>
      <c r="C9" s="58">
        <f>DATOS!J27</f>
        <v>88362</v>
      </c>
      <c r="D9" s="58">
        <f>DATOS!K27</f>
        <v>92605</v>
      </c>
      <c r="E9" s="36" t="s">
        <v>249</v>
      </c>
    </row>
    <row r="10" ht="15.0" customHeight="1">
      <c r="A10" s="1"/>
      <c r="B10" s="54" t="s">
        <v>250</v>
      </c>
      <c r="C10" s="55"/>
      <c r="D10" s="55"/>
      <c r="E10" s="55"/>
    </row>
    <row r="11" ht="15.0" customHeight="1">
      <c r="A11" s="1"/>
      <c r="B11" s="21" t="s">
        <v>251</v>
      </c>
      <c r="C11" s="58">
        <f>DATOS!J38</f>
        <v>81983</v>
      </c>
      <c r="D11" s="58">
        <f>DATOS!K38</f>
        <v>85345</v>
      </c>
      <c r="E11" s="36" t="s">
        <v>259</v>
      </c>
    </row>
    <row r="12" ht="15.0" customHeight="1">
      <c r="A12" s="1"/>
      <c r="B12" s="21" t="s">
        <v>260</v>
      </c>
      <c r="C12" s="48">
        <f>IFERROR(DATOS!J38/DATOS!J37,"n/d")</f>
        <v>2.414033745</v>
      </c>
      <c r="D12" s="48">
        <f>IFERROR(DATOS!K38/DATOS!K37,"n/d")</f>
        <v>2.399623236</v>
      </c>
      <c r="E12" s="36" t="s">
        <v>271</v>
      </c>
    </row>
    <row r="13" ht="15.0" customHeight="1">
      <c r="A13" s="1"/>
      <c r="B13" s="21" t="s">
        <v>272</v>
      </c>
      <c r="C13" s="58">
        <f>-DATOS!I15*2</f>
        <v>8016</v>
      </c>
      <c r="D13" s="58">
        <f>-DATOS!I15*2</f>
        <v>8016</v>
      </c>
      <c r="E13" s="36" t="s">
        <v>279</v>
      </c>
    </row>
    <row r="14" ht="15.0" customHeight="1">
      <c r="A14" s="1"/>
      <c r="B14" s="21" t="s">
        <v>281</v>
      </c>
      <c r="C14" s="58">
        <f>-DATOS!I17*2</f>
        <v>5106</v>
      </c>
      <c r="D14" s="58">
        <f>-DATOS!I17*2</f>
        <v>5106</v>
      </c>
      <c r="E14" s="36" t="s">
        <v>286</v>
      </c>
    </row>
    <row r="15" ht="15.0" customHeight="1">
      <c r="A15" s="1"/>
      <c r="B15" s="54" t="s">
        <v>288</v>
      </c>
      <c r="C15" s="55"/>
      <c r="D15" s="55"/>
      <c r="E15" s="55"/>
    </row>
    <row r="16" ht="15.0" customHeight="1">
      <c r="A16" s="1"/>
      <c r="B16" s="21" t="s">
        <v>289</v>
      </c>
      <c r="C16" s="58">
        <f>DATOS!J22+DATOS!J23</f>
        <v>17426</v>
      </c>
      <c r="D16" s="58">
        <f>DATOS!K22+DATOS!K23</f>
        <v>15964</v>
      </c>
      <c r="E16" s="36" t="s">
        <v>290</v>
      </c>
    </row>
    <row r="17" ht="15.0" customHeight="1">
      <c r="A17" s="1"/>
      <c r="B17" s="21" t="s">
        <v>291</v>
      </c>
      <c r="C17" s="58">
        <f>-DATOS!I40*2</f>
        <v>10000</v>
      </c>
      <c r="D17" s="58">
        <f>-DATOS!I40*2</f>
        <v>10000</v>
      </c>
      <c r="E17" s="36" t="s">
        <v>292</v>
      </c>
    </row>
    <row r="18" ht="15.0" customHeight="1">
      <c r="A18" s="1"/>
      <c r="B18" s="21" t="s">
        <v>293</v>
      </c>
      <c r="C18" s="61">
        <f>IFERROR((DATOS!K22+DATOS!K23)/(-DATOS!I40*2)*12,"n/d")</f>
        <v>19.1568</v>
      </c>
      <c r="D18" s="61">
        <f>IFERROR((DATOS!K22+DATOS!K23)/(-DATOS!I40*2)*12,"n/d")</f>
        <v>19.1568</v>
      </c>
      <c r="E18" s="36" t="s">
        <v>295</v>
      </c>
    </row>
    <row r="19" ht="15.0" customHeight="1">
      <c r="A19" s="1"/>
      <c r="B19" s="54" t="s">
        <v>296</v>
      </c>
      <c r="C19" s="55"/>
      <c r="D19" s="55"/>
      <c r="E19" s="55"/>
    </row>
    <row r="20" ht="15.0" customHeight="1">
      <c r="A20" s="1"/>
      <c r="B20" s="21" t="s">
        <v>58</v>
      </c>
      <c r="C20" s="58">
        <f>DATOS!K46</f>
        <v>368000</v>
      </c>
      <c r="D20" s="58">
        <f>DATOS!K46</f>
        <v>368000</v>
      </c>
      <c r="E20" s="36" t="s">
        <v>297</v>
      </c>
    </row>
    <row r="21" ht="15.0" customHeight="1">
      <c r="A21" s="1"/>
      <c r="B21" s="21" t="s">
        <v>298</v>
      </c>
      <c r="C21" s="58" t="str">
        <f>"n/d"</f>
        <v>n/d</v>
      </c>
      <c r="D21" s="58">
        <f>DATOS!I10</f>
        <v>6084</v>
      </c>
      <c r="E21" s="36" t="s">
        <v>299</v>
      </c>
    </row>
    <row r="22" ht="15.75" customHeight="1">
      <c r="A22" s="1"/>
      <c r="B22" s="1"/>
      <c r="C22" s="1"/>
      <c r="D22" s="1"/>
      <c r="E22" s="1"/>
    </row>
    <row r="23" ht="115.5" customHeight="1">
      <c r="A23" s="1"/>
      <c r="B23" s="50" t="s">
        <v>300</v>
      </c>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3:E2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2.0"/>
    <col customWidth="1" min="3" max="8" width="12.0"/>
    <col customWidth="1" min="9" max="9" width="32.0"/>
    <col customWidth="1" min="10" max="26" width="8.71"/>
  </cols>
  <sheetData>
    <row r="1">
      <c r="A1" s="1"/>
      <c r="B1" s="1"/>
      <c r="C1" s="1"/>
      <c r="D1" s="1"/>
      <c r="E1" s="1"/>
      <c r="F1" s="1"/>
      <c r="G1" s="1"/>
      <c r="H1" s="1"/>
      <c r="I1" s="1"/>
    </row>
    <row r="2" ht="24.0" customHeight="1">
      <c r="A2" s="1"/>
      <c r="B2" s="52" t="s">
        <v>302</v>
      </c>
      <c r="C2" s="3"/>
      <c r="D2" s="3"/>
      <c r="E2" s="3"/>
      <c r="F2" s="3"/>
      <c r="G2" s="3"/>
      <c r="H2" s="3"/>
      <c r="I2" s="4"/>
    </row>
    <row r="3" ht="30.0" customHeight="1">
      <c r="A3" s="1"/>
      <c r="B3" s="5" t="s">
        <v>303</v>
      </c>
    </row>
    <row r="4">
      <c r="A4" s="1"/>
      <c r="B4" s="1"/>
      <c r="C4" s="1"/>
      <c r="D4" s="1"/>
      <c r="E4" s="1"/>
      <c r="F4" s="1"/>
      <c r="G4" s="1"/>
      <c r="H4" s="1"/>
      <c r="I4" s="1"/>
    </row>
    <row r="5">
      <c r="A5" s="1"/>
      <c r="B5" s="1"/>
      <c r="C5" s="1"/>
      <c r="D5" s="1"/>
      <c r="E5" s="1"/>
      <c r="F5" s="1"/>
      <c r="G5" s="1"/>
      <c r="H5" s="1"/>
      <c r="I5" s="1"/>
    </row>
    <row r="6" ht="15.0" customHeight="1">
      <c r="A6" s="1"/>
      <c r="B6" s="10" t="s">
        <v>23</v>
      </c>
      <c r="C6" s="12" t="s">
        <v>304</v>
      </c>
      <c r="D6" s="12" t="s">
        <v>305</v>
      </c>
      <c r="E6" s="12" t="s">
        <v>306</v>
      </c>
      <c r="F6" s="12" t="s">
        <v>307</v>
      </c>
      <c r="G6" s="12" t="s">
        <v>308</v>
      </c>
      <c r="H6" s="12" t="s">
        <v>309</v>
      </c>
      <c r="I6" s="10" t="s">
        <v>310</v>
      </c>
    </row>
    <row r="7" ht="15.0" customHeight="1">
      <c r="A7" s="1"/>
      <c r="B7" s="54" t="s">
        <v>311</v>
      </c>
      <c r="C7" s="55"/>
      <c r="D7" s="55"/>
      <c r="E7" s="55"/>
      <c r="F7" s="55"/>
      <c r="G7" s="55"/>
      <c r="H7" s="55"/>
      <c r="I7" s="55"/>
    </row>
    <row r="8" ht="15.0" customHeight="1">
      <c r="A8" s="1"/>
      <c r="B8" s="9" t="s">
        <v>312</v>
      </c>
      <c r="C8" s="62">
        <f>DATOS!$K$69</f>
        <v>16300</v>
      </c>
      <c r="D8" s="62">
        <f>C8*(1+DATOS!$K$70)</f>
        <v>23635</v>
      </c>
      <c r="E8" s="62">
        <f>D8*(1+DATOS!$K$71)</f>
        <v>37816</v>
      </c>
      <c r="F8" s="62">
        <f>E8*(1+DATOS!$K$72)</f>
        <v>68068.8</v>
      </c>
      <c r="G8" s="62">
        <f>F8*(1+DATOS!$K$73)</f>
        <v>105506.64</v>
      </c>
      <c r="H8" s="62">
        <f>G8*(1+DATOS!$K$74)</f>
        <v>147709.296</v>
      </c>
      <c r="I8" s="18" t="s">
        <v>313</v>
      </c>
    </row>
    <row r="9" ht="15.0" customHeight="1">
      <c r="A9" s="1"/>
      <c r="B9" s="21" t="s">
        <v>314</v>
      </c>
      <c r="C9" s="63"/>
      <c r="D9" s="35">
        <f t="shared" ref="D9:H9" si="1">D8/C8-1</f>
        <v>0.45</v>
      </c>
      <c r="E9" s="35">
        <f t="shared" si="1"/>
        <v>0.6</v>
      </c>
      <c r="F9" s="35">
        <f t="shared" si="1"/>
        <v>0.8</v>
      </c>
      <c r="G9" s="35">
        <f t="shared" si="1"/>
        <v>0.55</v>
      </c>
      <c r="H9" s="35">
        <f t="shared" si="1"/>
        <v>0.4</v>
      </c>
      <c r="I9" s="18"/>
    </row>
    <row r="10" ht="18.75" customHeight="1">
      <c r="A10" s="1"/>
      <c r="B10" s="9" t="s">
        <v>315</v>
      </c>
      <c r="C10" s="63"/>
      <c r="D10" s="62">
        <f>D8*DATOS!$K$75</f>
        <v>-12999.25</v>
      </c>
      <c r="E10" s="62">
        <f>E8*DATOS!$K$76</f>
        <v>-9454</v>
      </c>
      <c r="F10" s="62">
        <f>F8*DATOS!$K$77</f>
        <v>3403.44</v>
      </c>
      <c r="G10" s="62">
        <f>G8*DATOS!$K$78</f>
        <v>23211.4608</v>
      </c>
      <c r="H10" s="62">
        <f>H8*DATOS!$K$79</f>
        <v>51698.2536</v>
      </c>
      <c r="I10" s="18" t="s">
        <v>316</v>
      </c>
    </row>
    <row r="11" ht="18.75" customHeight="1">
      <c r="A11" s="1"/>
      <c r="B11" s="21" t="s">
        <v>317</v>
      </c>
      <c r="C11" s="63"/>
      <c r="D11" s="35">
        <f>DATOS!$K$75</f>
        <v>-0.55</v>
      </c>
      <c r="E11" s="35">
        <f>DATOS!$K$76</f>
        <v>-0.25</v>
      </c>
      <c r="F11" s="35">
        <f>DATOS!$K$77</f>
        <v>0.05</v>
      </c>
      <c r="G11" s="35">
        <f>DATOS!$K$78</f>
        <v>0.22</v>
      </c>
      <c r="H11" s="35">
        <f>DATOS!$K$79</f>
        <v>0.35</v>
      </c>
      <c r="I11" s="18" t="s">
        <v>319</v>
      </c>
    </row>
    <row r="12" ht="18.75" customHeight="1">
      <c r="A12" s="1"/>
      <c r="B12" s="21" t="s">
        <v>320</v>
      </c>
      <c r="C12" s="63"/>
      <c r="D12" s="58">
        <f>-C25*DATOS!$K$84</f>
        <v>-6827.6</v>
      </c>
      <c r="E12" s="58">
        <f>-D25*DATOS!$K$84</f>
        <v>-8071.608</v>
      </c>
      <c r="F12" s="58">
        <f>-E25*DATOS!$K$84</f>
        <v>-9617.38064</v>
      </c>
      <c r="G12" s="58">
        <f>-F25*DATOS!$K$84</f>
        <v>-10179.08469</v>
      </c>
      <c r="H12" s="58">
        <f>-G25*DATOS!$K$84</f>
        <v>-9668.624826</v>
      </c>
      <c r="I12" s="18" t="s">
        <v>327</v>
      </c>
    </row>
    <row r="13" ht="15.0" customHeight="1">
      <c r="A13" s="1"/>
      <c r="B13" s="9" t="s">
        <v>328</v>
      </c>
      <c r="C13" s="63"/>
      <c r="D13" s="62">
        <f t="shared" ref="D13:H13" si="2">D10+D12</f>
        <v>-19826.85</v>
      </c>
      <c r="E13" s="62">
        <f t="shared" si="2"/>
        <v>-17525.608</v>
      </c>
      <c r="F13" s="62">
        <f t="shared" si="2"/>
        <v>-6213.94064</v>
      </c>
      <c r="G13" s="62">
        <f t="shared" si="2"/>
        <v>13032.37611</v>
      </c>
      <c r="H13" s="62">
        <f t="shared" si="2"/>
        <v>42029.62877</v>
      </c>
      <c r="I13" s="18"/>
    </row>
    <row r="14" ht="18.75" customHeight="1">
      <c r="A14" s="1"/>
      <c r="B14" s="21" t="s">
        <v>332</v>
      </c>
      <c r="C14" s="63"/>
      <c r="D14" s="58">
        <f>MAX(0,D13)*DATOS!K56*0.2</f>
        <v>0</v>
      </c>
      <c r="E14" s="58">
        <f>MAX(0,E13)*DATOS!K56*0.2</f>
        <v>0</v>
      </c>
      <c r="F14" s="58">
        <f>MAX(0,F13)*DATOS!K56*0.2</f>
        <v>0</v>
      </c>
      <c r="G14" s="58">
        <f>MAX(0,G13)*DATOS!K56*0.2</f>
        <v>547.3597966</v>
      </c>
      <c r="H14" s="58">
        <f>MAX(0,H13)*DATOS!K56*0.2</f>
        <v>1765.244408</v>
      </c>
      <c r="I14" s="18" t="s">
        <v>344</v>
      </c>
    </row>
    <row r="15" ht="15.0" customHeight="1">
      <c r="A15" s="1"/>
      <c r="B15" s="67" t="s">
        <v>345</v>
      </c>
      <c r="C15" s="63"/>
      <c r="D15" s="68">
        <f t="shared" ref="D15:H15" si="3">D13-D14</f>
        <v>-19826.85</v>
      </c>
      <c r="E15" s="68">
        <f t="shared" si="3"/>
        <v>-17525.608</v>
      </c>
      <c r="F15" s="68">
        <f t="shared" si="3"/>
        <v>-6213.94064</v>
      </c>
      <c r="G15" s="68">
        <f t="shared" si="3"/>
        <v>12485.01631</v>
      </c>
      <c r="H15" s="68">
        <f t="shared" si="3"/>
        <v>40264.38437</v>
      </c>
      <c r="I15" s="18"/>
    </row>
    <row r="16">
      <c r="A16" s="1"/>
      <c r="B16" s="1"/>
      <c r="C16" s="1"/>
      <c r="D16" s="1"/>
      <c r="E16" s="1"/>
      <c r="F16" s="1"/>
      <c r="G16" s="1"/>
      <c r="H16" s="1"/>
      <c r="I16" s="1"/>
    </row>
    <row r="17" ht="15.0" customHeight="1">
      <c r="A17" s="1"/>
      <c r="B17" s="54" t="s">
        <v>349</v>
      </c>
      <c r="C17" s="55"/>
      <c r="D17" s="55"/>
      <c r="E17" s="55"/>
      <c r="F17" s="55"/>
      <c r="G17" s="55"/>
      <c r="H17" s="55"/>
      <c r="I17" s="55"/>
    </row>
    <row r="18" ht="15.0" customHeight="1">
      <c r="A18" s="1"/>
      <c r="B18" s="21" t="s">
        <v>19</v>
      </c>
      <c r="C18" s="24">
        <f>DATOS!K22+DATOS!K23</f>
        <v>15964</v>
      </c>
      <c r="D18" s="58">
        <f t="shared" ref="D18:H18" si="4">D39</f>
        <v>9780</v>
      </c>
      <c r="E18" s="58">
        <f t="shared" si="4"/>
        <v>9780</v>
      </c>
      <c r="F18" s="58">
        <f t="shared" si="4"/>
        <v>9780</v>
      </c>
      <c r="G18" s="58">
        <f t="shared" si="4"/>
        <v>9780</v>
      </c>
      <c r="H18" s="58">
        <f t="shared" si="4"/>
        <v>10373.88773</v>
      </c>
      <c r="I18" s="18" t="s">
        <v>355</v>
      </c>
    </row>
    <row r="19" ht="15.0" customHeight="1">
      <c r="A19" s="1"/>
      <c r="B19" s="21" t="s">
        <v>52</v>
      </c>
      <c r="C19" s="24">
        <f>DATOS!K24</f>
        <v>4090</v>
      </c>
      <c r="D19" s="58">
        <f>D8*(DATOS!K24/DATOS!$K$69)</f>
        <v>5930.5</v>
      </c>
      <c r="E19" s="58">
        <f>E8*(DATOS!K24/DATOS!$K$69)</f>
        <v>9488.8</v>
      </c>
      <c r="F19" s="58">
        <f>F8*(DATOS!K24/DATOS!$K$69)</f>
        <v>17079.84</v>
      </c>
      <c r="G19" s="58">
        <f>G8*(DATOS!K24/DATOS!$K$69)</f>
        <v>26473.752</v>
      </c>
      <c r="H19" s="58">
        <f>H8*(DATOS!K24/DATOS!$K$69)</f>
        <v>37063.2528</v>
      </c>
      <c r="I19" s="18" t="s">
        <v>361</v>
      </c>
    </row>
    <row r="20" ht="15.0" customHeight="1">
      <c r="A20" s="1"/>
      <c r="B20" s="21" t="s">
        <v>362</v>
      </c>
      <c r="C20" s="24">
        <f>DATOS!K25</f>
        <v>3011</v>
      </c>
      <c r="D20" s="58">
        <f>D8*(DATOS!K25/DATOS!$K$69)</f>
        <v>4365.95</v>
      </c>
      <c r="E20" s="58">
        <f>E8*(DATOS!K25/DATOS!$K$69)</f>
        <v>6985.52</v>
      </c>
      <c r="F20" s="58">
        <f>F8*(DATOS!K25/DATOS!$K$69)</f>
        <v>12573.936</v>
      </c>
      <c r="G20" s="58">
        <f>G8*(DATOS!K25/DATOS!$K$69)</f>
        <v>19489.6008</v>
      </c>
      <c r="H20" s="58">
        <f>H8*(DATOS!K25/DATOS!$K$69)</f>
        <v>27285.44112</v>
      </c>
      <c r="I20" s="18" t="s">
        <v>367</v>
      </c>
    </row>
    <row r="21" ht="18.75" customHeight="1">
      <c r="A21" s="1"/>
      <c r="B21" s="21" t="s">
        <v>64</v>
      </c>
      <c r="C21" s="24">
        <f>DATOS!K27</f>
        <v>92605</v>
      </c>
      <c r="D21" s="58">
        <f>C21+D8*DATOS!$K$82-D8*DATOS!$K$81</f>
        <v>98277.4</v>
      </c>
      <c r="E21" s="58">
        <f>D21+E8*DATOS!$K$82-E8*DATOS!$K$81</f>
        <v>107353.24</v>
      </c>
      <c r="F21" s="58">
        <f>E21+F8*DATOS!$K$82-F8*DATOS!$K$81</f>
        <v>123689.752</v>
      </c>
      <c r="G21" s="58">
        <f>F21+G8*DATOS!$K$82-G8*DATOS!$K$81</f>
        <v>149011.3456</v>
      </c>
      <c r="H21" s="58">
        <f>G21+H8*DATOS!$K$82-H8*DATOS!$K$81</f>
        <v>184461.5766</v>
      </c>
      <c r="I21" s="18" t="s">
        <v>372</v>
      </c>
    </row>
    <row r="22" ht="15.0" customHeight="1">
      <c r="A22" s="1"/>
      <c r="B22" s="21" t="s">
        <v>374</v>
      </c>
      <c r="C22" s="24">
        <f>DATOS!K30-DATOS!K22-DATOS!K23-DATOS!K24-DATOS!K25-DATOS!K27</f>
        <v>20709</v>
      </c>
      <c r="D22" s="58">
        <f t="shared" ref="D22:H22" si="5">C22</f>
        <v>20709</v>
      </c>
      <c r="E22" s="58">
        <f t="shared" si="5"/>
        <v>20709</v>
      </c>
      <c r="F22" s="58">
        <f t="shared" si="5"/>
        <v>20709</v>
      </c>
      <c r="G22" s="58">
        <f t="shared" si="5"/>
        <v>20709</v>
      </c>
      <c r="H22" s="58">
        <f t="shared" si="5"/>
        <v>20709</v>
      </c>
      <c r="I22" s="18" t="s">
        <v>379</v>
      </c>
    </row>
    <row r="23" ht="15.0" customHeight="1">
      <c r="A23" s="1"/>
      <c r="B23" s="9" t="s">
        <v>102</v>
      </c>
      <c r="C23" s="62">
        <f t="shared" ref="C23:H23" si="6">C18+C19+C20+C21+C22</f>
        <v>136379</v>
      </c>
      <c r="D23" s="62">
        <f t="shared" si="6"/>
        <v>139062.85</v>
      </c>
      <c r="E23" s="62">
        <f t="shared" si="6"/>
        <v>154316.56</v>
      </c>
      <c r="F23" s="62">
        <f t="shared" si="6"/>
        <v>183832.528</v>
      </c>
      <c r="G23" s="62">
        <f t="shared" si="6"/>
        <v>225463.6984</v>
      </c>
      <c r="H23" s="62">
        <f t="shared" si="6"/>
        <v>279893.1583</v>
      </c>
      <c r="I23" s="18"/>
    </row>
    <row r="24" ht="15.0" customHeight="1">
      <c r="A24" s="1"/>
      <c r="B24" s="21" t="s">
        <v>380</v>
      </c>
      <c r="C24" s="24">
        <f>DATOS!K36-DATOS!K38</f>
        <v>15468</v>
      </c>
      <c r="D24" s="58">
        <f>D8*((DATOS!K36-DATOS!K38)/DATOS!$K$69)</f>
        <v>22428.6</v>
      </c>
      <c r="E24" s="58">
        <f>E8*((DATOS!K36-DATOS!K38)/DATOS!$K$69)</f>
        <v>35885.76</v>
      </c>
      <c r="F24" s="58">
        <f>F8*((DATOS!K36-DATOS!K38)/DATOS!$K$69)</f>
        <v>64594.368</v>
      </c>
      <c r="G24" s="58">
        <f>G8*((DATOS!K36-DATOS!K38)/DATOS!$K$69)</f>
        <v>100121.2704</v>
      </c>
      <c r="H24" s="58">
        <f>H8*((DATOS!K36-DATOS!K38)/DATOS!$K$69)</f>
        <v>140169.7786</v>
      </c>
      <c r="I24" s="18" t="s">
        <v>382</v>
      </c>
    </row>
    <row r="25" ht="18.75" customHeight="1">
      <c r="A25" s="1"/>
      <c r="B25" s="21" t="s">
        <v>385</v>
      </c>
      <c r="C25" s="24">
        <f>DATOS!K38</f>
        <v>85345</v>
      </c>
      <c r="D25" s="58">
        <f t="shared" ref="D25:H25" si="7">D23-D24-D27</f>
        <v>100895.1</v>
      </c>
      <c r="E25" s="58">
        <f t="shared" si="7"/>
        <v>120217.258</v>
      </c>
      <c r="F25" s="58">
        <f t="shared" si="7"/>
        <v>127238.5586</v>
      </c>
      <c r="G25" s="58">
        <f t="shared" si="7"/>
        <v>120857.8103</v>
      </c>
      <c r="H25" s="58">
        <f t="shared" si="7"/>
        <v>94974.37769</v>
      </c>
      <c r="I25" s="18" t="s">
        <v>388</v>
      </c>
    </row>
    <row r="26" ht="15.0" customHeight="1">
      <c r="A26" s="1"/>
      <c r="B26" s="9" t="s">
        <v>146</v>
      </c>
      <c r="C26" s="62">
        <f t="shared" ref="C26:H26" si="8">C24+C25</f>
        <v>100813</v>
      </c>
      <c r="D26" s="62">
        <f t="shared" si="8"/>
        <v>123323.7</v>
      </c>
      <c r="E26" s="62">
        <f t="shared" si="8"/>
        <v>156103.018</v>
      </c>
      <c r="F26" s="62">
        <f t="shared" si="8"/>
        <v>191832.9266</v>
      </c>
      <c r="G26" s="62">
        <f t="shared" si="8"/>
        <v>220979.0807</v>
      </c>
      <c r="H26" s="62">
        <f t="shared" si="8"/>
        <v>235144.1562</v>
      </c>
      <c r="I26" s="18"/>
    </row>
    <row r="27" ht="15.0" customHeight="1">
      <c r="A27" s="1"/>
      <c r="B27" s="21" t="s">
        <v>391</v>
      </c>
      <c r="C27" s="24">
        <f>DATOS!K37</f>
        <v>35566</v>
      </c>
      <c r="D27" s="58">
        <f t="shared" ref="D27:H27" si="9">C27+D15</f>
        <v>15739.15</v>
      </c>
      <c r="E27" s="58">
        <f t="shared" si="9"/>
        <v>-1786.458</v>
      </c>
      <c r="F27" s="58">
        <f t="shared" si="9"/>
        <v>-8000.39864</v>
      </c>
      <c r="G27" s="58">
        <f t="shared" si="9"/>
        <v>4484.617672</v>
      </c>
      <c r="H27" s="58">
        <f t="shared" si="9"/>
        <v>44749.00204</v>
      </c>
      <c r="I27" s="18" t="s">
        <v>394</v>
      </c>
    </row>
    <row r="28" ht="15.0" customHeight="1">
      <c r="A28" s="1"/>
      <c r="B28" s="9" t="s">
        <v>395</v>
      </c>
      <c r="C28" s="62">
        <f t="shared" ref="C28:H28" si="10">C26+C27</f>
        <v>136379</v>
      </c>
      <c r="D28" s="62">
        <f t="shared" si="10"/>
        <v>139062.85</v>
      </c>
      <c r="E28" s="62">
        <f t="shared" si="10"/>
        <v>154316.56</v>
      </c>
      <c r="F28" s="62">
        <f t="shared" si="10"/>
        <v>183832.528</v>
      </c>
      <c r="G28" s="62">
        <f t="shared" si="10"/>
        <v>225463.6984</v>
      </c>
      <c r="H28" s="62">
        <f t="shared" si="10"/>
        <v>279893.1583</v>
      </c>
      <c r="I28" s="18"/>
    </row>
    <row r="29" ht="15.0" customHeight="1">
      <c r="A29" s="1"/>
      <c r="B29" s="79" t="s">
        <v>400</v>
      </c>
      <c r="C29" s="81">
        <f t="shared" ref="C29:H29" si="11">C23-C28</f>
        <v>0</v>
      </c>
      <c r="D29" s="81">
        <f t="shared" si="11"/>
        <v>0</v>
      </c>
      <c r="E29" s="81">
        <f t="shared" si="11"/>
        <v>0</v>
      </c>
      <c r="F29" s="81">
        <f t="shared" si="11"/>
        <v>0</v>
      </c>
      <c r="G29" s="81">
        <f t="shared" si="11"/>
        <v>0</v>
      </c>
      <c r="H29" s="81">
        <f t="shared" si="11"/>
        <v>0</v>
      </c>
      <c r="I29" s="18" t="s">
        <v>402</v>
      </c>
    </row>
    <row r="30" ht="15.75" customHeight="1">
      <c r="A30" s="1"/>
      <c r="B30" s="1"/>
      <c r="C30" s="1"/>
      <c r="D30" s="1"/>
      <c r="E30" s="1"/>
      <c r="F30" s="1"/>
      <c r="G30" s="1"/>
      <c r="H30" s="1"/>
      <c r="I30" s="1"/>
    </row>
    <row r="31" ht="15.0" customHeight="1">
      <c r="A31" s="1"/>
      <c r="B31" s="54" t="s">
        <v>403</v>
      </c>
      <c r="C31" s="55"/>
      <c r="D31" s="55"/>
      <c r="E31" s="55"/>
      <c r="F31" s="55"/>
      <c r="G31" s="55"/>
      <c r="H31" s="55"/>
      <c r="I31" s="55"/>
    </row>
    <row r="32" ht="15.0" customHeight="1">
      <c r="A32" s="1"/>
      <c r="B32" s="21" t="s">
        <v>405</v>
      </c>
      <c r="C32" s="63"/>
      <c r="D32" s="58">
        <f t="shared" ref="D32:H32" si="12">D15</f>
        <v>-19826.85</v>
      </c>
      <c r="E32" s="58">
        <f t="shared" si="12"/>
        <v>-17525.608</v>
      </c>
      <c r="F32" s="58">
        <f t="shared" si="12"/>
        <v>-6213.94064</v>
      </c>
      <c r="G32" s="58">
        <f t="shared" si="12"/>
        <v>12485.01631</v>
      </c>
      <c r="H32" s="58">
        <f t="shared" si="12"/>
        <v>40264.38437</v>
      </c>
      <c r="I32" s="18" t="s">
        <v>407</v>
      </c>
    </row>
    <row r="33" ht="15.0" customHeight="1">
      <c r="A33" s="1"/>
      <c r="B33" s="21" t="s">
        <v>408</v>
      </c>
      <c r="C33" s="63"/>
      <c r="D33" s="58">
        <f>D8*DATOS!$K$81</f>
        <v>1418.1</v>
      </c>
      <c r="E33" s="58">
        <f>E8*DATOS!$K$81</f>
        <v>2268.96</v>
      </c>
      <c r="F33" s="58">
        <f>F8*DATOS!$K$81</f>
        <v>4084.128</v>
      </c>
      <c r="G33" s="58">
        <f>G8*DATOS!$K$81</f>
        <v>6330.3984</v>
      </c>
      <c r="H33" s="58">
        <f>H8*DATOS!$K$81</f>
        <v>8862.55776</v>
      </c>
      <c r="I33" s="18" t="s">
        <v>409</v>
      </c>
    </row>
    <row r="34" ht="15.0" customHeight="1">
      <c r="A34" s="1"/>
      <c r="B34" s="21" t="s">
        <v>410</v>
      </c>
      <c r="C34" s="63"/>
      <c r="D34" s="58">
        <f>-(D8-C8)*DATOS!$K$83</f>
        <v>-733.5</v>
      </c>
      <c r="E34" s="58">
        <f>-(E8-D8)*DATOS!$K$83</f>
        <v>-1418.1</v>
      </c>
      <c r="F34" s="58">
        <f>-(F8-E8)*DATOS!$K$83</f>
        <v>-3025.28</v>
      </c>
      <c r="G34" s="58">
        <f>-(G8-F8)*DATOS!$K$83</f>
        <v>-3743.784</v>
      </c>
      <c r="H34" s="58">
        <f>-(H8-G8)*DATOS!$K$83</f>
        <v>-4220.2656</v>
      </c>
      <c r="I34" s="18" t="s">
        <v>411</v>
      </c>
    </row>
    <row r="35" ht="15.0" customHeight="1">
      <c r="A35" s="1"/>
      <c r="B35" s="9" t="s">
        <v>412</v>
      </c>
      <c r="C35" s="63"/>
      <c r="D35" s="62">
        <f t="shared" ref="D35:H35" si="13">D32+D33+D34</f>
        <v>-19142.25</v>
      </c>
      <c r="E35" s="62">
        <f t="shared" si="13"/>
        <v>-16674.748</v>
      </c>
      <c r="F35" s="62">
        <f t="shared" si="13"/>
        <v>-5155.09264</v>
      </c>
      <c r="G35" s="62">
        <f t="shared" si="13"/>
        <v>15071.63071</v>
      </c>
      <c r="H35" s="62">
        <f t="shared" si="13"/>
        <v>44906.67653</v>
      </c>
      <c r="I35" s="18"/>
    </row>
    <row r="36" ht="18.75" customHeight="1">
      <c r="A36" s="1"/>
      <c r="B36" s="21" t="s">
        <v>413</v>
      </c>
      <c r="C36" s="63"/>
      <c r="D36" s="58">
        <f>-D8*DATOS!$K$82</f>
        <v>-7090.5</v>
      </c>
      <c r="E36" s="58">
        <f>-E8*DATOS!$K$82</f>
        <v>-11344.8</v>
      </c>
      <c r="F36" s="58">
        <f>-F8*DATOS!$K$82</f>
        <v>-20420.64</v>
      </c>
      <c r="G36" s="58">
        <f>-G8*DATOS!$K$82</f>
        <v>-31651.992</v>
      </c>
      <c r="H36" s="58">
        <f>-H8*DATOS!$K$82</f>
        <v>-44312.7888</v>
      </c>
      <c r="I36" s="18" t="s">
        <v>414</v>
      </c>
    </row>
    <row r="37" ht="18.75" customHeight="1">
      <c r="A37" s="1"/>
      <c r="B37" s="67" t="s">
        <v>415</v>
      </c>
      <c r="C37" s="63"/>
      <c r="D37" s="68">
        <f t="shared" ref="D37:H37" si="14">D35+D36</f>
        <v>-26232.75</v>
      </c>
      <c r="E37" s="68">
        <f t="shared" si="14"/>
        <v>-28019.548</v>
      </c>
      <c r="F37" s="68">
        <f t="shared" si="14"/>
        <v>-25575.73264</v>
      </c>
      <c r="G37" s="68">
        <f t="shared" si="14"/>
        <v>-16580.36129</v>
      </c>
      <c r="H37" s="68">
        <f t="shared" si="14"/>
        <v>593.8877253</v>
      </c>
      <c r="I37" s="18" t="s">
        <v>416</v>
      </c>
    </row>
    <row r="38" ht="15.0" customHeight="1">
      <c r="A38" s="1"/>
      <c r="B38" s="21" t="s">
        <v>417</v>
      </c>
      <c r="C38" s="63"/>
      <c r="D38" s="58">
        <f>DATOS!K22+DATOS!K23</f>
        <v>15964</v>
      </c>
      <c r="E38" s="58">
        <f t="shared" ref="E38:H38" si="15">D39</f>
        <v>9780</v>
      </c>
      <c r="F38" s="58">
        <f t="shared" si="15"/>
        <v>9780</v>
      </c>
      <c r="G38" s="58">
        <f t="shared" si="15"/>
        <v>9780</v>
      </c>
      <c r="H38" s="58">
        <f t="shared" si="15"/>
        <v>9780</v>
      </c>
      <c r="I38" s="18"/>
    </row>
    <row r="39" ht="18.75" customHeight="1">
      <c r="A39" s="1"/>
      <c r="B39" s="67" t="s">
        <v>418</v>
      </c>
      <c r="C39" s="63"/>
      <c r="D39" s="68">
        <f>MAX(DATOS!$K$69*0.6,D38+D37)</f>
        <v>9780</v>
      </c>
      <c r="E39" s="68">
        <f>MAX(DATOS!$K$69*0.6,E38+E37)</f>
        <v>9780</v>
      </c>
      <c r="F39" s="68">
        <f>MAX(DATOS!$K$69*0.6,F38+F37)</f>
        <v>9780</v>
      </c>
      <c r="G39" s="68">
        <f>MAX(DATOS!$K$69*0.6,G38+G37)</f>
        <v>9780</v>
      </c>
      <c r="H39" s="68">
        <f>MAX(DATOS!$K$69*0.6,H38+H37)</f>
        <v>10373.88773</v>
      </c>
      <c r="I39" s="18" t="s">
        <v>419</v>
      </c>
    </row>
    <row r="40" ht="15.75" customHeight="1">
      <c r="A40" s="1"/>
      <c r="B40" s="1"/>
      <c r="C40" s="1"/>
      <c r="D40" s="1"/>
      <c r="E40" s="1"/>
      <c r="F40" s="1"/>
      <c r="G40" s="1"/>
      <c r="H40" s="1"/>
      <c r="I40" s="1"/>
    </row>
    <row r="41" ht="91.5" customHeight="1">
      <c r="A41" s="1"/>
      <c r="B41" s="50" t="s">
        <v>420</v>
      </c>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1:I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4.0"/>
    <col customWidth="1" min="3" max="3" width="15.0"/>
    <col customWidth="1" min="4" max="4" width="13.0"/>
    <col customWidth="1" min="5" max="5" width="46.0"/>
    <col customWidth="1" min="6" max="26" width="8.71"/>
  </cols>
  <sheetData>
    <row r="1">
      <c r="A1" s="1"/>
      <c r="B1" s="1"/>
      <c r="C1" s="1"/>
      <c r="D1" s="1"/>
      <c r="E1" s="1"/>
    </row>
    <row r="2" ht="24.0" customHeight="1">
      <c r="A2" s="1"/>
      <c r="B2" s="52" t="s">
        <v>318</v>
      </c>
      <c r="C2" s="3"/>
      <c r="D2" s="3"/>
      <c r="E2" s="4"/>
    </row>
    <row r="3" ht="25.5" customHeight="1">
      <c r="A3" s="1"/>
      <c r="B3" s="5" t="s">
        <v>321</v>
      </c>
    </row>
    <row r="4">
      <c r="A4" s="1"/>
      <c r="B4" s="1"/>
      <c r="C4" s="1"/>
      <c r="D4" s="1"/>
      <c r="E4" s="1"/>
    </row>
    <row r="5" ht="15.0" customHeight="1">
      <c r="A5" s="1"/>
      <c r="B5" s="54" t="s">
        <v>322</v>
      </c>
      <c r="C5" s="55"/>
      <c r="D5" s="55"/>
      <c r="E5" s="55"/>
    </row>
    <row r="6" ht="15.0" customHeight="1">
      <c r="A6" s="1"/>
      <c r="B6" s="64" t="s">
        <v>323</v>
      </c>
      <c r="C6" s="65" t="s">
        <v>324</v>
      </c>
      <c r="D6" s="8"/>
      <c r="E6" s="64" t="s">
        <v>325</v>
      </c>
    </row>
    <row r="7" ht="15.0" customHeight="1">
      <c r="A7" s="1"/>
      <c r="B7" s="21" t="s">
        <v>326</v>
      </c>
      <c r="C7" s="66">
        <f>DATOS!K48</f>
        <v>300000</v>
      </c>
      <c r="D7" s="1"/>
      <c r="E7" s="18" t="s">
        <v>329</v>
      </c>
    </row>
    <row r="8" ht="15.0" customHeight="1">
      <c r="A8" s="1"/>
      <c r="B8" s="21" t="s">
        <v>330</v>
      </c>
      <c r="C8" s="66">
        <f>DATOS!K49</f>
        <v>80000</v>
      </c>
      <c r="D8" s="1"/>
      <c r="E8" s="18" t="s">
        <v>331</v>
      </c>
    </row>
    <row r="9" ht="15.0" customHeight="1">
      <c r="A9" s="1"/>
      <c r="B9" s="21" t="s">
        <v>333</v>
      </c>
      <c r="C9" s="66">
        <f>DATOS!K50</f>
        <v>90000</v>
      </c>
      <c r="D9" s="1"/>
      <c r="E9" s="18" t="s">
        <v>334</v>
      </c>
    </row>
    <row r="10" ht="15.0" customHeight="1">
      <c r="A10" s="1"/>
      <c r="B10" s="21" t="s">
        <v>335</v>
      </c>
      <c r="C10" s="66">
        <f>DATOS!K51</f>
        <v>60000</v>
      </c>
      <c r="D10" s="1"/>
      <c r="E10" s="18" t="s">
        <v>336</v>
      </c>
    </row>
    <row r="11" ht="15.0" customHeight="1">
      <c r="A11" s="1"/>
      <c r="B11" s="21" t="s">
        <v>337</v>
      </c>
      <c r="C11" s="24">
        <f>DATOS!K46*0.2</f>
        <v>73600</v>
      </c>
      <c r="D11" s="1"/>
      <c r="E11" s="18" t="s">
        <v>338</v>
      </c>
    </row>
    <row r="12" ht="18.75" customHeight="1">
      <c r="A12" s="1"/>
      <c r="B12" s="21" t="s">
        <v>339</v>
      </c>
      <c r="C12" s="44">
        <f>DATOS!K22+DATOS!K23-DATOS!K38</f>
        <v>-69381</v>
      </c>
      <c r="D12" s="1"/>
      <c r="E12" s="18" t="s">
        <v>340</v>
      </c>
    </row>
    <row r="13" ht="15.0" customHeight="1">
      <c r="A13" s="1"/>
      <c r="B13" s="21" t="s">
        <v>341</v>
      </c>
      <c r="C13" s="24">
        <f>-2300*25</f>
        <v>-57500</v>
      </c>
      <c r="D13" s="1"/>
      <c r="E13" s="18" t="s">
        <v>342</v>
      </c>
    </row>
    <row r="14" ht="15.0" customHeight="1">
      <c r="A14" s="1"/>
      <c r="B14" s="9" t="s">
        <v>343</v>
      </c>
      <c r="C14" s="68">
        <f>SUM(C7:C10)+C11+C12+C13</f>
        <v>476719</v>
      </c>
      <c r="D14" s="1"/>
      <c r="E14" s="1"/>
    </row>
    <row r="15" ht="15.0" customHeight="1">
      <c r="A15" s="1"/>
      <c r="B15" s="9" t="s">
        <v>346</v>
      </c>
      <c r="C15" s="69">
        <f>C14/1000/DATOS!K20</f>
        <v>5.813646341</v>
      </c>
      <c r="D15" s="1"/>
      <c r="E15" s="1"/>
    </row>
    <row r="16">
      <c r="A16" s="1"/>
      <c r="B16" s="1"/>
      <c r="C16" s="1"/>
      <c r="D16" s="1"/>
      <c r="E16" s="1"/>
    </row>
    <row r="17" ht="15.0" customHeight="1">
      <c r="A17" s="1"/>
      <c r="B17" s="54" t="s">
        <v>347</v>
      </c>
      <c r="C17" s="55"/>
      <c r="D17" s="55"/>
      <c r="E17" s="55"/>
    </row>
    <row r="18" ht="15.0" customHeight="1">
      <c r="A18" s="1"/>
      <c r="B18" s="21" t="s">
        <v>348</v>
      </c>
      <c r="C18" s="70">
        <f>DATOS!K53</f>
        <v>0.043</v>
      </c>
      <c r="D18" s="63"/>
      <c r="E18" s="18" t="s">
        <v>350</v>
      </c>
    </row>
    <row r="19" ht="15.0" customHeight="1">
      <c r="A19" s="1"/>
      <c r="B19" s="21" t="s">
        <v>351</v>
      </c>
      <c r="C19" s="70">
        <f>DATOS!K54</f>
        <v>0.055</v>
      </c>
      <c r="D19" s="63"/>
      <c r="E19" s="18" t="s">
        <v>350</v>
      </c>
    </row>
    <row r="20" ht="15.0" customHeight="1">
      <c r="A20" s="1"/>
      <c r="B20" s="21" t="s">
        <v>352</v>
      </c>
      <c r="C20" s="71">
        <f>DATOS!K55</f>
        <v>1.2</v>
      </c>
      <c r="D20" s="63"/>
      <c r="E20" s="18" t="s">
        <v>353</v>
      </c>
    </row>
    <row r="21" ht="15.0" customHeight="1">
      <c r="A21" s="1"/>
      <c r="B21" s="21" t="s">
        <v>354</v>
      </c>
      <c r="C21" s="57">
        <f>DATOS!K43*DATOS!K20*1000</f>
        <v>246000</v>
      </c>
      <c r="D21" s="1"/>
      <c r="E21" s="18" t="s">
        <v>356</v>
      </c>
    </row>
    <row r="22" ht="15.0" customHeight="1">
      <c r="A22" s="1"/>
      <c r="B22" s="21" t="s">
        <v>357</v>
      </c>
      <c r="C22" s="29">
        <f>DATOS!K38</f>
        <v>85345</v>
      </c>
      <c r="D22" s="1"/>
      <c r="E22" s="18" t="s">
        <v>259</v>
      </c>
    </row>
    <row r="23" ht="15.0" customHeight="1">
      <c r="A23" s="1"/>
      <c r="B23" s="21" t="s">
        <v>358</v>
      </c>
      <c r="C23" s="35">
        <f>C22/(C22+C21)</f>
        <v>0.2575714135</v>
      </c>
      <c r="D23" s="63"/>
      <c r="E23" s="18" t="s">
        <v>359</v>
      </c>
    </row>
    <row r="24" ht="15.0" customHeight="1">
      <c r="A24" s="1"/>
      <c r="B24" s="21" t="s">
        <v>360</v>
      </c>
      <c r="C24" s="35">
        <f>C21/(C22+C21)</f>
        <v>0.7424285865</v>
      </c>
      <c r="D24" s="63"/>
      <c r="E24" s="18"/>
    </row>
    <row r="25" ht="15.0" customHeight="1">
      <c r="A25" s="1"/>
      <c r="B25" s="21" t="s">
        <v>363</v>
      </c>
      <c r="C25" s="72">
        <f>DATOS!K56</f>
        <v>0.21</v>
      </c>
      <c r="D25" s="63"/>
      <c r="E25" s="18"/>
    </row>
    <row r="26" ht="15.0" customHeight="1">
      <c r="A26" s="1"/>
      <c r="B26" s="21" t="s">
        <v>364</v>
      </c>
      <c r="C26" s="73">
        <f>C20*(1+(1-C25)*C22/C21)</f>
        <v>1.528890488</v>
      </c>
      <c r="D26" s="63"/>
      <c r="E26" s="18" t="s">
        <v>365</v>
      </c>
    </row>
    <row r="27" ht="15.0" customHeight="1">
      <c r="A27" s="1"/>
      <c r="B27" s="21" t="s">
        <v>366</v>
      </c>
      <c r="C27" s="74">
        <f>C18+C26*C19</f>
        <v>0.1270889768</v>
      </c>
      <c r="D27" s="63"/>
      <c r="E27" s="18" t="s">
        <v>368</v>
      </c>
    </row>
    <row r="28" ht="15.0" customHeight="1">
      <c r="A28" s="1"/>
      <c r="B28" s="21" t="s">
        <v>369</v>
      </c>
      <c r="C28" s="70">
        <f>DATOS!K57</f>
        <v>0.09</v>
      </c>
      <c r="D28" s="63"/>
      <c r="E28" s="18"/>
    </row>
    <row r="29" ht="15.0" customHeight="1">
      <c r="A29" s="1"/>
      <c r="B29" s="9" t="s">
        <v>370</v>
      </c>
      <c r="C29" s="75">
        <f>C24*C27+C23*C28*(1-C25)</f>
        <v>0.1126678169</v>
      </c>
      <c r="D29" s="63"/>
      <c r="E29" s="18" t="s">
        <v>371</v>
      </c>
    </row>
    <row r="30" ht="15.75" customHeight="1">
      <c r="A30" s="1"/>
      <c r="B30" s="1"/>
      <c r="C30" s="1"/>
      <c r="D30" s="1"/>
      <c r="E30" s="1"/>
    </row>
    <row r="31" ht="15.0" customHeight="1">
      <c r="A31" s="1"/>
      <c r="B31" s="54" t="s">
        <v>373</v>
      </c>
      <c r="C31" s="55"/>
      <c r="D31" s="55"/>
      <c r="E31" s="55"/>
    </row>
    <row r="32" ht="21.75" customHeight="1">
      <c r="A32" s="1"/>
      <c r="B32" s="65" t="s">
        <v>375</v>
      </c>
      <c r="C32" s="65" t="s">
        <v>376</v>
      </c>
      <c r="D32" s="65" t="s">
        <v>377</v>
      </c>
      <c r="E32" s="76" t="s">
        <v>378</v>
      </c>
    </row>
    <row r="33" ht="15.0" customHeight="1">
      <c r="A33" s="1"/>
      <c r="B33" s="77">
        <v>1.0</v>
      </c>
      <c r="C33" s="24">
        <f>Proyecciones!D37</f>
        <v>-26232.75</v>
      </c>
      <c r="D33" s="58">
        <f>C33/(1+C29)^1</f>
        <v>-23576.44357</v>
      </c>
      <c r="E33" s="63"/>
    </row>
    <row r="34" ht="15.0" customHeight="1">
      <c r="A34" s="1"/>
      <c r="B34" s="77">
        <v>2.0</v>
      </c>
      <c r="C34" s="24">
        <f>Proyecciones!E37</f>
        <v>-28019.548</v>
      </c>
      <c r="D34" s="58">
        <f>C34/(1+C29)^2</f>
        <v>-22632.37195</v>
      </c>
      <c r="E34" s="63"/>
    </row>
    <row r="35" ht="15.0" customHeight="1">
      <c r="A35" s="1"/>
      <c r="B35" s="77">
        <v>3.0</v>
      </c>
      <c r="C35" s="24">
        <f>Proyecciones!F37</f>
        <v>-25575.73264</v>
      </c>
      <c r="D35" s="58">
        <f>C35/(1+C29)^3</f>
        <v>-18566.56249</v>
      </c>
      <c r="E35" s="63"/>
    </row>
    <row r="36" ht="15.0" customHeight="1">
      <c r="A36" s="1"/>
      <c r="B36" s="77">
        <v>4.0</v>
      </c>
      <c r="C36" s="24">
        <f>Proyecciones!G37</f>
        <v>-16580.36129</v>
      </c>
      <c r="D36" s="58">
        <f>C36/(1+C29)^4</f>
        <v>-10817.62403</v>
      </c>
      <c r="E36" s="63"/>
    </row>
    <row r="37" ht="15.0" customHeight="1">
      <c r="A37" s="1"/>
      <c r="B37" s="77">
        <v>5.0</v>
      </c>
      <c r="C37" s="24">
        <f>Proyecciones!H37</f>
        <v>593.8877253</v>
      </c>
      <c r="D37" s="58">
        <f>C37/(1+C29)^5</f>
        <v>348.2384461</v>
      </c>
      <c r="E37" s="63"/>
    </row>
    <row r="38" ht="15.0" customHeight="1">
      <c r="A38" s="1"/>
      <c r="B38" s="21" t="s">
        <v>381</v>
      </c>
      <c r="C38" s="58">
        <f>Proyecciones!H8*DATOS!K58*(1-DATOS!K56*0.2)</f>
        <v>49526.92695</v>
      </c>
      <c r="D38" s="1"/>
      <c r="E38" s="18" t="s">
        <v>383</v>
      </c>
    </row>
    <row r="39" ht="15.0" customHeight="1">
      <c r="A39" s="1"/>
      <c r="B39" s="21" t="s">
        <v>384</v>
      </c>
      <c r="C39" s="58">
        <f>C38*(1.03)/(C29-0.03)</f>
        <v>617080.947</v>
      </c>
      <c r="D39" s="58">
        <f>C39/(1+C29)^5</f>
        <v>361838.2751</v>
      </c>
      <c r="E39" s="18" t="s">
        <v>386</v>
      </c>
    </row>
    <row r="40" ht="15.0" customHeight="1">
      <c r="A40" s="1"/>
      <c r="B40" s="9" t="s">
        <v>387</v>
      </c>
      <c r="C40" s="62">
        <f>SUM(D33:D37)+D39+DATOS!K22+DATOS!K23-DATOS!K38-2300*25</f>
        <v>159712.5115</v>
      </c>
      <c r="D40" s="1"/>
      <c r="E40" s="18" t="s">
        <v>389</v>
      </c>
    </row>
    <row r="41" ht="15.0" customHeight="1">
      <c r="A41" s="1"/>
      <c r="B41" s="9" t="s">
        <v>390</v>
      </c>
      <c r="C41" s="69">
        <f>C40/1000/DATOS!K20</f>
        <v>1.947713554</v>
      </c>
      <c r="D41" s="1"/>
      <c r="E41" s="1"/>
    </row>
    <row r="42" ht="15.75" customHeight="1">
      <c r="A42" s="1"/>
      <c r="B42" s="1"/>
      <c r="C42" s="1"/>
      <c r="D42" s="1"/>
      <c r="E42" s="1"/>
    </row>
    <row r="43" ht="15.0" customHeight="1">
      <c r="A43" s="1"/>
      <c r="B43" s="54" t="s">
        <v>392</v>
      </c>
      <c r="C43" s="55"/>
      <c r="D43" s="55"/>
      <c r="E43" s="55"/>
    </row>
    <row r="44" ht="15.0" customHeight="1">
      <c r="A44" s="1"/>
      <c r="B44" s="9" t="s">
        <v>393</v>
      </c>
      <c r="C44" s="78">
        <f>C15</f>
        <v>5.813646341</v>
      </c>
      <c r="D44" s="1"/>
      <c r="E44" s="18" t="s">
        <v>396</v>
      </c>
    </row>
    <row r="45" ht="15.0" customHeight="1">
      <c r="A45" s="1"/>
      <c r="B45" s="9" t="s">
        <v>397</v>
      </c>
      <c r="C45" s="78">
        <f>C41</f>
        <v>1.947713554</v>
      </c>
      <c r="D45" s="1"/>
      <c r="E45" s="18" t="s">
        <v>398</v>
      </c>
    </row>
    <row r="46" ht="15.0" customHeight="1">
      <c r="A46" s="1"/>
      <c r="B46" s="9" t="s">
        <v>399</v>
      </c>
      <c r="C46" s="80">
        <f>DATOS!K43</f>
        <v>3</v>
      </c>
      <c r="D46" s="1"/>
      <c r="E46" s="1"/>
    </row>
    <row r="47" ht="15.0" customHeight="1">
      <c r="A47" s="1"/>
      <c r="B47" s="9" t="s">
        <v>401</v>
      </c>
      <c r="C47" s="82">
        <f>C15/DATOS!K43-1</f>
        <v>0.9378821138</v>
      </c>
      <c r="D47" s="82">
        <f>C41/DATOS!K43-1</f>
        <v>-0.3507621485</v>
      </c>
      <c r="E47" s="18" t="s">
        <v>404</v>
      </c>
    </row>
    <row r="48" ht="15.75" customHeight="1">
      <c r="A48" s="1"/>
      <c r="B48" s="1"/>
      <c r="C48" s="1"/>
      <c r="D48" s="1"/>
      <c r="E48" s="1"/>
    </row>
    <row r="49" ht="87.75" customHeight="1">
      <c r="A49" s="1"/>
      <c r="B49" s="83" t="s">
        <v>406</v>
      </c>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49:E4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6.0"/>
    <col customWidth="1" min="3" max="7" width="12.0"/>
    <col customWidth="1" min="8" max="26" width="8.71"/>
  </cols>
  <sheetData>
    <row r="1">
      <c r="A1" s="1"/>
      <c r="B1" s="1"/>
      <c r="C1" s="1"/>
      <c r="D1" s="1"/>
      <c r="E1" s="1"/>
      <c r="F1" s="1"/>
      <c r="G1" s="1"/>
    </row>
    <row r="2" ht="24.0" customHeight="1">
      <c r="A2" s="1"/>
      <c r="B2" s="52" t="s">
        <v>421</v>
      </c>
      <c r="C2" s="3"/>
      <c r="D2" s="3"/>
      <c r="E2" s="3"/>
      <c r="F2" s="3"/>
      <c r="G2" s="4"/>
    </row>
    <row r="3" ht="25.5" customHeight="1">
      <c r="A3" s="1"/>
      <c r="B3" s="5" t="s">
        <v>422</v>
      </c>
    </row>
    <row r="4">
      <c r="A4" s="1"/>
      <c r="B4" s="1"/>
      <c r="C4" s="1"/>
      <c r="D4" s="1"/>
      <c r="E4" s="1"/>
      <c r="F4" s="1"/>
      <c r="G4" s="1"/>
    </row>
    <row r="5" ht="15.0" customHeight="1">
      <c r="A5" s="1"/>
      <c r="B5" s="12" t="s">
        <v>423</v>
      </c>
      <c r="C5" s="84">
        <v>80.0</v>
      </c>
      <c r="D5" s="84">
        <v>120.0</v>
      </c>
      <c r="E5" s="84">
        <v>150.0</v>
      </c>
      <c r="F5" s="84">
        <v>200.0</v>
      </c>
      <c r="G5" s="84">
        <v>280.0</v>
      </c>
    </row>
    <row r="6" ht="15.0" customHeight="1">
      <c r="A6" s="1"/>
      <c r="B6" s="84">
        <v>250.0</v>
      </c>
      <c r="C6" s="85">
        <f>(($B6*1000+C$5*1000+(DATOS!K46*0.2+DATOS!K22+DATOS!K23-DATOS!K38-2300*25)))/1000/DATOS!K20</f>
        <v>3.374621951</v>
      </c>
      <c r="D6" s="85">
        <f>(($B6*1000+D$5*1000+(DATOS!K46*0.2+DATOS!K22+DATOS!K23-DATOS!K38-2300*25)))/1000/DATOS!K20</f>
        <v>3.862426829</v>
      </c>
      <c r="E6" s="85">
        <f>(($B6*1000+E$5*1000+(DATOS!K46*0.2+DATOS!K22+DATOS!K23-DATOS!K38-2300*25)))/1000/DATOS!K20</f>
        <v>4.228280488</v>
      </c>
      <c r="F6" s="85">
        <f>(($B6*1000+F$5*1000+(DATOS!K46*0.2+DATOS!K22+DATOS!K23-DATOS!K38-2300*25)))/1000/DATOS!K20</f>
        <v>4.838036585</v>
      </c>
      <c r="G6" s="85">
        <f>(($B6*1000+G$5*1000+(DATOS!K46*0.2+DATOS!K22+DATOS!K23-DATOS!K38-2300*25)))/1000/DATOS!K20</f>
        <v>5.813646341</v>
      </c>
    </row>
    <row r="7" ht="15.0" customHeight="1">
      <c r="A7" s="1"/>
      <c r="B7" s="84">
        <v>350.0</v>
      </c>
      <c r="C7" s="85">
        <f>(($B7*1000+C$5*1000+(DATOS!K46*0.2+DATOS!K22+DATOS!K23-DATOS!K38-2300*25)))/1000/DATOS!K20</f>
        <v>4.594134146</v>
      </c>
      <c r="D7" s="85">
        <f>(($B7*1000+D$5*1000+(DATOS!K46*0.2+DATOS!K22+DATOS!K23-DATOS!K38-2300*25)))/1000/DATOS!K20</f>
        <v>5.081939024</v>
      </c>
      <c r="E7" s="85">
        <f>(($B7*1000+E$5*1000+(DATOS!K46*0.2+DATOS!K22+DATOS!K23-DATOS!K38-2300*25)))/1000/DATOS!K20</f>
        <v>5.447792683</v>
      </c>
      <c r="F7" s="85">
        <f>(($B7*1000+F$5*1000+(DATOS!K46*0.2+DATOS!K22+DATOS!K23-DATOS!K38-2300*25)))/1000/DATOS!K20</f>
        <v>6.05754878</v>
      </c>
      <c r="G7" s="85">
        <f>(($B7*1000+G$5*1000+(DATOS!K46*0.2+DATOS!K22+DATOS!K23-DATOS!K38-2300*25)))/1000/DATOS!K20</f>
        <v>7.033158537</v>
      </c>
    </row>
    <row r="8" ht="15.0" customHeight="1">
      <c r="A8" s="1"/>
      <c r="B8" s="84">
        <v>450.0</v>
      </c>
      <c r="C8" s="85">
        <f>(($B8*1000+C$5*1000+(DATOS!K46*0.2+DATOS!K22+DATOS!K23-DATOS!K38-2300*25)))/1000/DATOS!K20</f>
        <v>5.813646341</v>
      </c>
      <c r="D8" s="85">
        <f>(($B8*1000+D$5*1000+(DATOS!K46*0.2+DATOS!K22+DATOS!K23-DATOS!K38-2300*25)))/1000/DATOS!K20</f>
        <v>6.30145122</v>
      </c>
      <c r="E8" s="86">
        <f>(($B8*1000+E$5*1000+(DATOS!K46*0.2+DATOS!K22+DATOS!K23-DATOS!K38-2300*25)))/1000/DATOS!K20</f>
        <v>6.667304878</v>
      </c>
      <c r="F8" s="85">
        <f>(($B8*1000+F$5*1000+(DATOS!K46*0.2+DATOS!K22+DATOS!K23-DATOS!K38-2300*25)))/1000/DATOS!K20</f>
        <v>7.277060976</v>
      </c>
      <c r="G8" s="85">
        <f>(($B8*1000+G$5*1000+(DATOS!K46*0.2+DATOS!K22+DATOS!K23-DATOS!K38-2300*25)))/1000/DATOS!K20</f>
        <v>8.252670732</v>
      </c>
    </row>
    <row r="9" ht="15.0" customHeight="1">
      <c r="A9" s="1"/>
      <c r="B9" s="84">
        <v>600.0</v>
      </c>
      <c r="C9" s="85">
        <f>(($B9*1000+C$5*1000+(DATOS!K46*0.2+DATOS!K22+DATOS!K23-DATOS!K38-2300*25)))/1000/DATOS!K20</f>
        <v>7.642914634</v>
      </c>
      <c r="D9" s="85">
        <f>(($B9*1000+D$5*1000+(DATOS!K46*0.2+DATOS!K22+DATOS!K23-DATOS!K38-2300*25)))/1000/DATOS!K20</f>
        <v>8.130719512</v>
      </c>
      <c r="E9" s="85">
        <f>(($B9*1000+E$5*1000+(DATOS!K46*0.2+DATOS!K22+DATOS!K23-DATOS!K38-2300*25)))/1000/DATOS!K20</f>
        <v>8.496573171</v>
      </c>
      <c r="F9" s="85">
        <f>(($B9*1000+F$5*1000+(DATOS!K46*0.2+DATOS!K22+DATOS!K23-DATOS!K38-2300*25)))/1000/DATOS!K20</f>
        <v>9.106329268</v>
      </c>
      <c r="G9" s="85">
        <f>(($B9*1000+G$5*1000+(DATOS!K46*0.2+DATOS!K22+DATOS!K23-DATOS!K38-2300*25)))/1000/DATOS!K20</f>
        <v>10.08193902</v>
      </c>
    </row>
    <row r="10" ht="15.0" customHeight="1">
      <c r="A10" s="1"/>
      <c r="B10" s="84">
        <v>800.0</v>
      </c>
      <c r="C10" s="85">
        <f>(($B10*1000+C$5*1000+(DATOS!K46*0.2+DATOS!K22+DATOS!K23-DATOS!K38-2300*25)))/1000/DATOS!K20</f>
        <v>10.08193902</v>
      </c>
      <c r="D10" s="85">
        <f>(($B10*1000+D$5*1000+(DATOS!K46*0.2+DATOS!K22+DATOS!K23-DATOS!K38-2300*25)))/1000/DATOS!K20</f>
        <v>10.5697439</v>
      </c>
      <c r="E10" s="85">
        <f>(($B10*1000+E$5*1000+(DATOS!K46*0.2+DATOS!K22+DATOS!K23-DATOS!K38-2300*25)))/1000/DATOS!K20</f>
        <v>10.93559756</v>
      </c>
      <c r="F10" s="85">
        <f>(($B10*1000+F$5*1000+(DATOS!K46*0.2+DATOS!K22+DATOS!K23-DATOS!K38-2300*25)))/1000/DATOS!K20</f>
        <v>11.54535366</v>
      </c>
      <c r="G10" s="85">
        <f>(($B10*1000+G$5*1000+(DATOS!K46*0.2+DATOS!K22+DATOS!K23-DATOS!K38-2300*25)))/1000/DATOS!K20</f>
        <v>12.52096341</v>
      </c>
    </row>
    <row r="11">
      <c r="A11" s="1"/>
      <c r="B11" s="1"/>
      <c r="C11" s="1"/>
      <c r="D11" s="1"/>
      <c r="E11" s="1"/>
      <c r="F11" s="1"/>
      <c r="G11" s="1"/>
    </row>
    <row r="12" ht="15.0" customHeight="1">
      <c r="A12" s="1"/>
      <c r="B12" s="87" t="s">
        <v>424</v>
      </c>
      <c r="C12" s="88">
        <f>DATOS!K43</f>
        <v>3</v>
      </c>
      <c r="D12" s="5" t="s">
        <v>425</v>
      </c>
    </row>
    <row r="13">
      <c r="A13" s="1"/>
      <c r="B13" s="1"/>
      <c r="C13" s="1"/>
      <c r="D13" s="1"/>
      <c r="E13" s="1"/>
      <c r="F13" s="1"/>
      <c r="G13" s="1"/>
    </row>
    <row r="14" ht="55.5" customHeight="1">
      <c r="A14" s="1"/>
      <c r="B14" s="50" t="s">
        <v>426</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7" width="13.0"/>
    <col customWidth="1" min="8" max="8" width="30.0"/>
    <col customWidth="1" min="9" max="26" width="8.71"/>
  </cols>
  <sheetData>
    <row r="1">
      <c r="A1" s="1"/>
      <c r="B1" s="1"/>
      <c r="C1" s="1"/>
      <c r="D1" s="1"/>
      <c r="E1" s="1"/>
      <c r="F1" s="1"/>
      <c r="G1" s="1"/>
      <c r="H1" s="1"/>
    </row>
    <row r="2" ht="24.0" customHeight="1">
      <c r="A2" s="1"/>
      <c r="B2" s="52" t="s">
        <v>427</v>
      </c>
      <c r="C2" s="3"/>
      <c r="D2" s="3"/>
      <c r="E2" s="3"/>
      <c r="F2" s="3"/>
      <c r="G2" s="3"/>
      <c r="H2" s="4"/>
    </row>
    <row r="3" ht="30.0" customHeight="1">
      <c r="A3" s="1"/>
      <c r="B3" s="5" t="s">
        <v>428</v>
      </c>
    </row>
    <row r="4">
      <c r="A4" s="1"/>
      <c r="B4" s="1"/>
      <c r="C4" s="1"/>
      <c r="D4" s="1"/>
      <c r="E4" s="1"/>
      <c r="F4" s="1"/>
      <c r="G4" s="1"/>
      <c r="H4" s="1"/>
    </row>
    <row r="5" ht="15.0" customHeight="1">
      <c r="A5" s="1"/>
      <c r="B5" s="12" t="s">
        <v>429</v>
      </c>
      <c r="C5" s="12" t="s">
        <v>430</v>
      </c>
      <c r="D5" s="12" t="s">
        <v>431</v>
      </c>
      <c r="E5" s="12" t="s">
        <v>432</v>
      </c>
      <c r="F5" s="12" t="s">
        <v>14</v>
      </c>
      <c r="G5" s="1"/>
      <c r="H5" s="1"/>
    </row>
    <row r="6" ht="45.75" customHeight="1">
      <c r="A6" s="1"/>
      <c r="B6" s="21" t="s">
        <v>433</v>
      </c>
      <c r="C6" s="77" t="s">
        <v>434</v>
      </c>
      <c r="D6" s="89">
        <v>12.0</v>
      </c>
      <c r="E6" s="89">
        <v>1.8</v>
      </c>
      <c r="F6" s="18" t="s">
        <v>435</v>
      </c>
      <c r="G6" s="1"/>
      <c r="H6" s="1"/>
    </row>
    <row r="7" ht="27.75" customHeight="1">
      <c r="A7" s="1"/>
      <c r="B7" s="21" t="s">
        <v>436</v>
      </c>
      <c r="C7" s="77" t="s">
        <v>437</v>
      </c>
      <c r="D7" s="89">
        <v>6.0</v>
      </c>
      <c r="E7" s="89">
        <v>3.5</v>
      </c>
      <c r="F7" s="18" t="s">
        <v>438</v>
      </c>
      <c r="G7" s="1"/>
      <c r="H7" s="1"/>
    </row>
    <row r="8" ht="36.75" customHeight="1">
      <c r="A8" s="1"/>
      <c r="B8" s="21" t="s">
        <v>439</v>
      </c>
      <c r="C8" s="77" t="s">
        <v>440</v>
      </c>
      <c r="D8" s="89">
        <v>4.5</v>
      </c>
      <c r="E8" s="89">
        <v>2.0</v>
      </c>
      <c r="F8" s="18" t="s">
        <v>441</v>
      </c>
      <c r="G8" s="1"/>
      <c r="H8" s="1"/>
    </row>
    <row r="9" ht="36.75" customHeight="1">
      <c r="A9" s="1"/>
      <c r="B9" s="21" t="s">
        <v>442</v>
      </c>
      <c r="C9" s="77" t="s">
        <v>443</v>
      </c>
      <c r="D9" s="89">
        <v>10.0</v>
      </c>
      <c r="E9" s="89">
        <v>4.0</v>
      </c>
      <c r="F9" s="18" t="s">
        <v>444</v>
      </c>
      <c r="G9" s="1"/>
      <c r="H9" s="1"/>
    </row>
    <row r="10" ht="18.75" customHeight="1">
      <c r="A10" s="1"/>
      <c r="B10" s="21" t="s">
        <v>445</v>
      </c>
      <c r="C10" s="77" t="s">
        <v>446</v>
      </c>
      <c r="D10" s="89">
        <v>4.0</v>
      </c>
      <c r="E10" s="89">
        <v>2.5</v>
      </c>
      <c r="F10" s="18" t="s">
        <v>447</v>
      </c>
      <c r="G10" s="1"/>
      <c r="H10" s="1"/>
    </row>
    <row r="11" ht="15.0" customHeight="1">
      <c r="A11" s="1"/>
      <c r="B11" s="90" t="s">
        <v>448</v>
      </c>
      <c r="C11" s="8"/>
      <c r="D11" s="91">
        <f t="shared" ref="D11:E11" si="1">MEDIAN(D6:D10)</f>
        <v>6</v>
      </c>
      <c r="E11" s="91">
        <f t="shared" si="1"/>
        <v>2.5</v>
      </c>
      <c r="F11" s="1"/>
      <c r="G11" s="1"/>
      <c r="H11" s="1"/>
    </row>
    <row r="12">
      <c r="A12" s="1"/>
      <c r="B12" s="1"/>
      <c r="C12" s="1"/>
      <c r="D12" s="1"/>
      <c r="E12" s="1"/>
      <c r="F12" s="1"/>
      <c r="G12" s="1"/>
      <c r="H12" s="1"/>
    </row>
    <row r="13" ht="15.0" customHeight="1">
      <c r="A13" s="1"/>
      <c r="B13" s="7" t="s">
        <v>449</v>
      </c>
      <c r="C13" s="8"/>
      <c r="D13" s="8"/>
      <c r="E13" s="8"/>
      <c r="F13" s="8"/>
      <c r="G13" s="8"/>
      <c r="H13" s="8"/>
    </row>
    <row r="14" ht="15.0" customHeight="1">
      <c r="A14" s="1"/>
      <c r="B14" s="12" t="s">
        <v>450</v>
      </c>
      <c r="C14" s="12" t="s">
        <v>451</v>
      </c>
      <c r="D14" s="12" t="s">
        <v>452</v>
      </c>
      <c r="E14" s="12" t="s">
        <v>453</v>
      </c>
      <c r="F14" s="1"/>
      <c r="G14" s="1"/>
      <c r="H14" s="12" t="s">
        <v>454</v>
      </c>
    </row>
    <row r="15" ht="15.0" customHeight="1">
      <c r="A15" s="1"/>
      <c r="B15" s="21" t="s">
        <v>455</v>
      </c>
      <c r="C15" s="29">
        <f>Proyecciones!G8</f>
        <v>105506.64</v>
      </c>
      <c r="D15" s="92">
        <f>D11</f>
        <v>6</v>
      </c>
      <c r="E15" s="69">
        <f>(Proyecciones!G8*D11+DATOS!K22-DATOS!K38-2300*25)/1000/DATOS!K20</f>
        <v>6.139022439</v>
      </c>
      <c r="F15" s="93" t="s">
        <v>456</v>
      </c>
      <c r="G15" s="13"/>
      <c r="H15" s="13"/>
    </row>
    <row r="16" ht="23.25" customHeight="1">
      <c r="A16" s="1"/>
      <c r="B16" s="21" t="s">
        <v>457</v>
      </c>
      <c r="C16" s="29">
        <f>DATOS!K37</f>
        <v>35566</v>
      </c>
      <c r="D16" s="92">
        <f>E11</f>
        <v>2.5</v>
      </c>
      <c r="E16" s="69">
        <f>DATOS!K37*E11/1000/DATOS!K20</f>
        <v>1.084329268</v>
      </c>
      <c r="F16" s="93" t="s">
        <v>458</v>
      </c>
      <c r="G16" s="13"/>
      <c r="H16" s="13"/>
    </row>
    <row r="17" ht="15.0" customHeight="1">
      <c r="A17" s="1"/>
      <c r="B17" s="9" t="s">
        <v>399</v>
      </c>
      <c r="C17" s="1"/>
      <c r="D17" s="1"/>
      <c r="E17" s="88">
        <f>DATOS!K43</f>
        <v>3</v>
      </c>
      <c r="F17" s="1"/>
      <c r="G17" s="1"/>
      <c r="H17" s="1"/>
    </row>
    <row r="18">
      <c r="A18" s="1"/>
      <c r="B18" s="1"/>
      <c r="C18" s="1"/>
      <c r="D18" s="1"/>
      <c r="E18" s="1"/>
      <c r="F18" s="1"/>
      <c r="G18" s="1"/>
      <c r="H18" s="1"/>
    </row>
    <row r="19" ht="84.0" customHeight="1">
      <c r="A19" s="1"/>
      <c r="B19" s="50" t="s">
        <v>459</v>
      </c>
    </row>
    <row r="20">
      <c r="A20" s="1"/>
      <c r="B20" s="1"/>
      <c r="C20" s="1"/>
      <c r="D20" s="1"/>
      <c r="E20" s="1"/>
      <c r="F20" s="1"/>
      <c r="G20" s="1"/>
      <c r="H20" s="1"/>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5">
    <mergeCell ref="B2:H2"/>
    <mergeCell ref="B3:H3"/>
    <mergeCell ref="F15:H15"/>
    <mergeCell ref="F16:H16"/>
    <mergeCell ref="B19:H19"/>
  </mergeCells>
  <printOptions/>
  <pageMargins bottom="1.0" footer="0.0" header="0.0" left="0.75" right="0.75" top="1.0"/>
  <pageSetup paperSize="9" orientation="portrait"/>
  <drawing r:id="rId1"/>
</worksheet>
</file>