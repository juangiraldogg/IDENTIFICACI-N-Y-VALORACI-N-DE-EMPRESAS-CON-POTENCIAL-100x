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DATOS" sheetId="2" r:id="rId6"/>
    <sheet state="visible" name="Estado Resultados" sheetId="3" r:id="rId7"/>
    <sheet state="visible" name="Balance" sheetId="4" r:id="rId8"/>
    <sheet state="visible" name="Análisis Financiero" sheetId="5" r:id="rId9"/>
    <sheet state="visible" name="Proyecciones" sheetId="6" r:id="rId10"/>
    <sheet state="visible" name="Valoración" sheetId="7" r:id="rId11"/>
    <sheet state="visible" name="Sensibilidad" sheetId="8" r:id="rId12"/>
    <sheet state="visible" name="Comparables" sheetId="9" r:id="rId13"/>
  </sheets>
  <definedNames/>
  <calcPr/>
</workbook>
</file>

<file path=xl/sharedStrings.xml><?xml version="1.0" encoding="utf-8"?>
<sst xmlns="http://schemas.openxmlformats.org/spreadsheetml/2006/main" count="454" uniqueCount="421">
  <si>
    <t>BIOLARGO (OTCQX: BLGO) — Resumen Ejecutivo</t>
  </si>
  <si>
    <t>BIOLARGO (BLGO) — HOJA DE DATOS CRUDOS (SEC 10-K / 10-Q). Cifras en MILES USD.</t>
  </si>
  <si>
    <t>ESTADO DE RESULTADOS — la transición Pooph (miles $, jala de DATOS)</t>
  </si>
  <si>
    <t>BALANCE GENERAL — dic24 → mar26 (Q1) (miles $)</t>
  </si>
  <si>
    <t>Dos cortes. A diferencia de las otras empresas de opción, el balance es la DEBILIDAD de BLGO: poca caja. Verde = de DATOS.</t>
  </si>
  <si>
    <t>Modelo profesional con 4 capas: 3 estados enlazados, DCF real, sensibilidad, comparables — con SUMA DE PARTES como método principal (es una incubadora). Datos SEC hasta Q1 2026. Cifras en USD.</t>
  </si>
  <si>
    <t>CIFRAS CLAVE (de DATOS)</t>
  </si>
  <si>
    <t>Partida (miles $)</t>
  </si>
  <si>
    <t>Lo clave: cómo el fin de la licencia Pooph (mediados 2025) hundió los ingresos, y cómo los servicios recurrentes resisten. La pérdida neta está distorsionada por write-offs.</t>
  </si>
  <si>
    <t>Fuente única. Azul = de SEC. Demás hojas jalan con fórmulas. Edita SOLO aquí. Plataforma cleantech multi-tecnología (incubadora). Perdió su motor de caja (Pooph) en 2025; el valor está en 4 apuestas emergentes. Balance débil: riesgo de liquidez real. FY = dic.</t>
  </si>
  <si>
    <t>Dic-24</t>
  </si>
  <si>
    <t>Mar-26</t>
  </si>
  <si>
    <t>Comentario</t>
  </si>
  <si>
    <t>Precio de la acción</t>
  </si>
  <si>
    <t>ANUALES (la caída)</t>
  </si>
  <si>
    <t>ACTIVOS</t>
  </si>
  <si>
    <t>ANUALES (FY dic)</t>
  </si>
  <si>
    <t>Caja y equivalentes</t>
  </si>
  <si>
    <t>Trimestres (desplome)</t>
  </si>
  <si>
    <t>Q2 (homólogo)</t>
  </si>
  <si>
    <t>Trimestres recientes</t>
  </si>
  <si>
    <t>Concepto (miles $)</t>
  </si>
  <si>
    <t>Balance (cortes)</t>
  </si>
  <si>
    <t>FY23</t>
  </si>
  <si>
    <t>FY24</t>
  </si>
  <si>
    <t>FY25</t>
  </si>
  <si>
    <t>Q2 24</t>
  </si>
  <si>
    <t>~$0.11 (ago 2026). Micro-cap OTC.</t>
  </si>
  <si>
    <t>Ingresos FY2025 (miles $)</t>
  </si>
  <si>
    <t>FY2023</t>
  </si>
  <si>
    <t>DÉBIL: solo ~$3.9M. El talón de Aquiles.</t>
  </si>
  <si>
    <t>FY2024</t>
  </si>
  <si>
    <t>FY2025</t>
  </si>
  <si>
    <t>Q2 25</t>
  </si>
  <si>
    <t>Q2-24</t>
  </si>
  <si>
    <t>Q3 25</t>
  </si>
  <si>
    <t>Q2-25</t>
  </si>
  <si>
    <t>Q1 26</t>
  </si>
  <si>
    <t>Q3-25</t>
  </si>
  <si>
    <t>Q1-26</t>
  </si>
  <si>
    <t xml:space="preserve">   Cuentas por cobrar</t>
  </si>
  <si>
    <t>Q1-26bal</t>
  </si>
  <si>
    <t>INGRESOS TOTALES</t>
  </si>
  <si>
    <t>Fuente / nota</t>
  </si>
  <si>
    <t>ESTADO DE RESULTADOS</t>
  </si>
  <si>
    <t>Cayó 42% por el fin de Pooph (era $17.8M).</t>
  </si>
  <si>
    <t>Ingreso por servicios FY2025 (miles $)</t>
  </si>
  <si>
    <t xml:space="preserve">   Inventarios</t>
  </si>
  <si>
    <t>Se duplicó a ~$2M. La parte resiliente.</t>
  </si>
  <si>
    <t>Pérdida operativa FY2025 (miles $)</t>
  </si>
  <si>
    <t>La pérdida "real" (sin write-offs).</t>
  </si>
  <si>
    <t>Caja (Q1 2026, miles $)</t>
  </si>
  <si>
    <t>Total activo corriente</t>
  </si>
  <si>
    <t>~$3.9M. DÉBIL: riesgo de liquidez real.</t>
  </si>
  <si>
    <t>FY25 cae 42%: fin de la licencia Pooph. Q4-25 solo 616.</t>
  </si>
  <si>
    <t>Patrimonio (Q1 2026, miles $)</t>
  </si>
  <si>
    <t xml:space="preserve">  Ingreso por productos (Pooph/odor, otros)</t>
  </si>
  <si>
    <t>PP&amp;E + otros activos</t>
  </si>
  <si>
    <t xml:space="preserve">     Ingreso por servicios (ingeniería)</t>
  </si>
  <si>
    <t>Se erosiona con las pérdidas.</t>
  </si>
  <si>
    <t>El grueso venía de Pooph (ya terminado).</t>
  </si>
  <si>
    <t xml:space="preserve">  Ingreso por servicios (ingeniería BLEST)</t>
  </si>
  <si>
    <t>Equipo + no corrientes.</t>
  </si>
  <si>
    <t>TOTAL ACTIVOS</t>
  </si>
  <si>
    <t>Se duplicó a ~$2M en 2025. Recurrente, resiliente.</t>
  </si>
  <si>
    <t>Costo de ventas</t>
  </si>
  <si>
    <t>Pipeline PFAS ($M)</t>
  </si>
  <si>
    <t>Cost of revenue.</t>
  </si>
  <si>
    <t>UTILIDAD BRUTA</t>
  </si>
  <si>
    <t>PASIVOS Y PATRIMONIO</t>
  </si>
  <si>
    <t>Margen bruto ~46-47%. Se mantiene alto.</t>
  </si>
  <si>
    <t>Gastos operativos</t>
  </si>
  <si>
    <t xml:space="preserve">   Cuentas por pagar y acumulados</t>
  </si>
  <si>
    <t>&gt;$200M de oportunidades (no contratadas).</t>
  </si>
  <si>
    <t>SG&amp;A + I+D. Estructura de costos fija alta.</t>
  </si>
  <si>
    <t>VEREDICTO</t>
  </si>
  <si>
    <t>PÉRDIDA OPERATIVA</t>
  </si>
  <si>
    <t>Tipo de inversión</t>
  </si>
  <si>
    <t>FY25 se amplía por menos ingresos + restructuring.</t>
  </si>
  <si>
    <t>Partidas no operativas netas</t>
  </si>
  <si>
    <t>Cartera de opciones</t>
  </si>
  <si>
    <t>Incl. write-offs, ajustes. Ruido.</t>
  </si>
  <si>
    <t>Deuda + notas + arrendamientos</t>
  </si>
  <si>
    <t>PÉRDIDA NETA</t>
  </si>
  <si>
    <t>Su valor es la suma de 4 apuestas tecnológicas, cada una muy incierta.</t>
  </si>
  <si>
    <t>FY25 −15.2M inflada por write-offs Pooph + restructuring.</t>
  </si>
  <si>
    <t xml:space="preserve">  De ella: Clyra Medical (filial)</t>
  </si>
  <si>
    <t>Negocio hoy</t>
  </si>
  <si>
    <t>Modesta: la empresa evita "deuda tóxica".</t>
  </si>
  <si>
    <t>En transición dolorosa</t>
  </si>
  <si>
    <t>TOTAL PASIVOS</t>
  </si>
  <si>
    <t>Buena parte de la pérdida es de la filial médica.</t>
  </si>
  <si>
    <t>EPS (US$)</t>
  </si>
  <si>
    <t>Perdió su motor de caja (Pooph); depende de que las apuestas despeguen.</t>
  </si>
  <si>
    <t>Balance</t>
  </si>
  <si>
    <t>Debilidad</t>
  </si>
  <si>
    <t>Solo ~$3.9M de caja: riesgo de liquidez y dilución real.</t>
  </si>
  <si>
    <t>El gran potencial</t>
  </si>
  <si>
    <t>Agua PFAS + Clyra</t>
  </si>
  <si>
    <t>PATRIMONIO</t>
  </si>
  <si>
    <t>Crisis global de "químicos eternos" (&gt;$200M pipeline) + médico.</t>
  </si>
  <si>
    <t>Diluted EPS. Pérdida pequeña por acción (muchas acciones).</t>
  </si>
  <si>
    <t>Valoración</t>
  </si>
  <si>
    <t>Acciones en circulación (M)</t>
  </si>
  <si>
    <t>Suma de partes ($0.18)</t>
  </si>
  <si>
    <t>Por encima del precio ($0.11), pero depende de estimaciones inciertas.</t>
  </si>
  <si>
    <t>Riesgo/premio</t>
  </si>
  <si>
    <t>Máximo/máxima asimetría</t>
  </si>
  <si>
    <t>Posible pérdida total; gran subida si una apuesta prospera.</t>
  </si>
  <si>
    <t>COMPARACIÓN DEL PORTAFOLIO (8 empresas)</t>
  </si>
  <si>
    <t>Se erosiona con las pérdidas acumuladas.</t>
  </si>
  <si>
    <t>~380M acciones. Micro-cap. Dilución histórica.</t>
  </si>
  <si>
    <t>LEU (Centrus)</t>
  </si>
  <si>
    <t>BALANCE GENERAL (fin de periodo)</t>
  </si>
  <si>
    <t>MÉTRICAS DE UNA EMPRESA FRÁGIL</t>
  </si>
  <si>
    <t>Rentable · enriquecimiento</t>
  </si>
  <si>
    <t>Razón corriente</t>
  </si>
  <si>
    <t>El más maduro; precio justificado por fundamentales.</t>
  </si>
  <si>
    <t>HSAI (Hesai)</t>
  </si>
  <si>
    <t>Crecimiento rentable · LiDAR</t>
  </si>
  <si>
    <t>Recién rentable, crecimiento explosivo. Alto upside, riesgo China.</t>
  </si>
  <si>
    <t xml:space="preserve">  Margen bruto %</t>
  </si>
  <si>
    <t>CLAVE (y débil): solo ~$3.9M. Riesgo de liquidez real.</t>
  </si>
  <si>
    <t>MP (MP Materials)</t>
  </si>
  <si>
    <t>Cruzando breakeven · imanes</t>
  </si>
  <si>
    <t>Cuentas por cobrar</t>
  </si>
  <si>
    <t>EBITDA+; prima estratégica. Gemelo maduro de USAR.</t>
  </si>
  <si>
    <t>PCYO (Pure Cycle)</t>
  </si>
  <si>
    <t>Rentable · agua</t>
  </si>
  <si>
    <t>Compounder lento y predecible; opción sobre derechos de agua.</t>
  </si>
  <si>
    <t>Accounts receivable.</t>
  </si>
  <si>
    <t>UUUU (Energy Fuels)</t>
  </si>
  <si>
    <t>Inventarios</t>
  </si>
  <si>
    <t>Pierde dinero · opción REE</t>
  </si>
  <si>
    <t>Especulativo; se valora por NAV.</t>
  </si>
  <si>
    <t>ASPI (ASP Isotopes)</t>
  </si>
  <si>
    <t>Desarrollo · isótopos/nuclear</t>
  </si>
  <si>
    <t>Muy temprano, opción pura. Balance fuerte.</t>
  </si>
  <si>
    <t>Inventories.</t>
  </si>
  <si>
    <t>USAR (USA Rare Earth)</t>
  </si>
  <si>
    <t>Construcción · imanes REE</t>
  </si>
  <si>
    <t>Opción a gran escala. Balance descomunal ($1.5B).</t>
  </si>
  <si>
    <t>BLGO (BioLargo)</t>
  </si>
  <si>
    <t>Incubadora · cleantech</t>
  </si>
  <si>
    <t>La más pequeña y frágil. Balance débil, valor en suma de partes.</t>
  </si>
  <si>
    <t>Current assets.</t>
  </si>
  <si>
    <t>GUÍA DE HOJAS: DATOS (fuente+drivers) · Estado Resultados · Balance · Análisis Financiero · Proyecciones (3 estados enlazados) · Valoración (Suma de Partes+WACC+DCF) · Sensibilidad · Comparables.</t>
  </si>
  <si>
    <t>Aceptable pero sin holgura.</t>
  </si>
  <si>
    <t>Equipo + activos no corrientes.</t>
  </si>
  <si>
    <t>Caja / Pasivos totales</t>
  </si>
  <si>
    <t>DESCARGO: material educativo, no asesoría financiera. Micro-cap OTC en transición: riesgo muy alto, dilución probable, posible pérdida total. Verifica en SEC EDGAR.</t>
  </si>
  <si>
    <t>Total assets. Pequeña.</t>
  </si>
  <si>
    <t>Cuentas por pagar y acumulados</t>
  </si>
  <si>
    <t>AP + accrued.</t>
  </si>
  <si>
    <t>Deuda modesta. La empresa evita "deuda tóxica".</t>
  </si>
  <si>
    <t>La caja no cubre ni todos los pasivos.</t>
  </si>
  <si>
    <t>Total liabilities.</t>
  </si>
  <si>
    <t>Deuda / Patrimonio</t>
  </si>
  <si>
    <t>Participación no controladora (Clyra)</t>
  </si>
  <si>
    <t>Minoritarios de Clyra (filial médica).</t>
  </si>
  <si>
    <t>Stockholders' equity. Se erosiona con las pérdidas.</t>
  </si>
  <si>
    <t>Deuda total (para WACC/puente)</t>
  </si>
  <si>
    <t>Deuda + notas.</t>
  </si>
  <si>
    <t>FLUJO DE CAJA (anual)</t>
  </si>
  <si>
    <t>Sube al erosionarse el patrimonio.</t>
  </si>
  <si>
    <t>Patrimonio / Activos</t>
  </si>
  <si>
    <t>Flujo de caja operativo (FY)</t>
  </si>
  <si>
    <t>Quema operativa. Se amplió en 2025 tras Pooph.</t>
  </si>
  <si>
    <t>CapEx (FY)</t>
  </si>
  <si>
    <t>Ligero: modelo "capital-light".</t>
  </si>
  <si>
    <t>MERCADO Y OPERATIVO (editable)</t>
  </si>
  <si>
    <t>Baja: el capital se consume.</t>
  </si>
  <si>
    <t>Precio de la acción (US$)</t>
  </si>
  <si>
    <t>Lectura: aquí está la diferencia clave de BioLargo frente a las otras apuestas de opción del portafolio. Mientras ASP Isotopes o USA Rare Earth tienen cientos o miles de millones en caja que les compran años de tiempo, BioLargo tiene apenas ~$3.9M. Para una empresa que pierde varios millones al año, eso es un colchón muy delgado. Su estrategia lo compensa en parte: es deliberadamente "capital-light" (invierte poco en activos fijos), evita deuda tóxica y financia sus proyectos a nivel de cada filial en lugar de la matriz. Pero no hay forma de endulzar el mensaje: el balance es frágil y la empresa depende de seguir levantando pequeñas cantidades de capital —lo que diluye a los accionistas— o de que alguna de sus tecnologías genere caja pronto. El riesgo de liquidez es real y hay que tenerlo presente en toda la valoración.</t>
  </si>
  <si>
    <t>ACTUALIZAR. ~$0.11 (ago 2026). 52-sem $0.095–0.234.</t>
  </si>
  <si>
    <t>Market cap referencia ($M)</t>
  </si>
  <si>
    <t>~$42M (precio × ~380M acciones).</t>
  </si>
  <si>
    <t>Pipeline PFAS bidded/spec ($M)</t>
  </si>
  <si>
    <t>&gt;$200M de oportunidades identificadas (no contratadas).</t>
  </si>
  <si>
    <t>SUMA DE PARTES — valor estimado por segmento ($M, editable)</t>
  </si>
  <si>
    <t>Clyra Medical (productos quirúrgicos)</t>
  </si>
  <si>
    <t>Filial médica. Ref: rondas previas. EDITA.</t>
  </si>
  <si>
    <t>AEC / agua PFAS</t>
  </si>
  <si>
    <t xml:space="preserve">     De ella: Clyra Medical</t>
  </si>
  <si>
    <t>Opción sobre crisis PFAS. EDITA según hitos.</t>
  </si>
  <si>
    <t>Cellinity (baterías)</t>
  </si>
  <si>
    <t>Almacenamiento energía. Muy temprano. EDITA.</t>
  </si>
  <si>
    <t>Servicios de ingeniería (BLEST)</t>
  </si>
  <si>
    <t>Negocio recurrente rentable/cercano. EDITA.</t>
  </si>
  <si>
    <t>SUPUESTOS DE VALORACIÓN (editable)</t>
  </si>
  <si>
    <t>Tasa libre de riesgo</t>
  </si>
  <si>
    <t>~4.3%.</t>
  </si>
  <si>
    <t>Prima de riesgo de mercado</t>
  </si>
  <si>
    <t>ERP USA.</t>
  </si>
  <si>
    <t>Beta desapalancado</t>
  </si>
  <si>
    <t>Micro-cap pre-rentabilidad, alta volatilidad. EDITA.</t>
  </si>
  <si>
    <t>Tasa impositiva</t>
  </si>
  <si>
    <t>USA ~21% (cuando sea rentable).</t>
  </si>
  <si>
    <t>Costo de la deuda</t>
  </si>
  <si>
    <t>Lectura: este estado cuenta una historia de transición dolorosa. Durante años, BioLargo financió su desarrollo con la caja de "Pooph", un producto de control de olores muy exitoso. En 2025 esa licencia terminó, y el efecto es brutal y visible: los ingresos anuales cayeron de $17.8M a $10.8M, y trimestre a trimestre el desplome es aún más claro (de $5M en Q2-24 a apenas $0.6M en Q4-25). La pérdida neta de −$15.2M asusta, pero conviene descomponerla: buena parte son cargos contables no recurrentes (write-offs por el fin de Pooph y reestructuración), no quema de caja pura; la pérdida operativa "real" ronda −$10M. Hay un punto positivo entre los escombros: el ingreso por servicios de ingeniería se duplicó a ~$2M y el margen bruto se mantiene alto (~46%), lo que muestra que el negocio subyacente tiene valor. Pero el mensaje central es claro: BioLargo perdió su motor de caja y ahora corre contra el tiempo para que sus otras apuestas lo reemplacen.</t>
  </si>
  <si>
    <t>Micro-cap: costo de deuda alto.</t>
  </si>
  <si>
    <t>Margen EBIT terminal</t>
  </si>
  <si>
    <t>Si las tecnologías escalan. EDITA.</t>
  </si>
  <si>
    <t>BLGO es una INCUBADORA cleantech: su valor esta en 4 apuestas simultaneas, cada una una opcion. Por eso se valora por SUMA DE PARTES.</t>
  </si>
  <si>
    <t>GOLPE 2025: la licencia de Pooph (control de olores) — que generaba &gt;$5M de caja — se termino. Ingresos cayeron de 17.8M a 10.8M.</t>
  </si>
  <si>
    <t>La perdida neta FY25 (−15.2M) esta MUY inflada por write-offs de Pooph y restructuring. La operativa "real" es ~−10M.</t>
  </si>
  <si>
    <t>BALANCE DEBIL: solo ~$3.9M de caja. A DIFERENCIA de ASPI/USAR, aqui el riesgo de quedarse sin dinero (liquidez) ES REAL.</t>
  </si>
  <si>
    <t>Estrategia: "capital-light", evita deuda toxica, financia a nivel de subsidiaria (ej. Clyra, Cellinity). Guidance 2026: ingresos trimestrales $1.1-1.3M.</t>
  </si>
  <si>
    <t>Las 4 apuestas: Clyra (medico, lo mas cercano), agua PFAS (&gt;$200M pipeline, gran opcion), Cellinity (baterias, muy temprano), servicios (caja recurrente).</t>
  </si>
  <si>
    <t>Es la empresa MAS PEQUENA y fragil del portafolio. Micro-cap OTC. Alto riesgo de dilucion y de continuidad si no escala pronto.</t>
  </si>
  <si>
    <t>DRIVERS DE PROYECCIÓN (editables) — recuperación tras Pooph + escala de apuestas</t>
  </si>
  <si>
    <t>Ingresos base FY2026e (miles $)</t>
  </si>
  <si>
    <t>Guidance ~$1.2M/trim × 4. Fondo post-Pooph.</t>
  </si>
  <si>
    <t>Crecim. ingresos año 1</t>
  </si>
  <si>
    <t>Clyra médico + servicios + primeras ventas agua.</t>
  </si>
  <si>
    <t>ANÁLISIS FINANCIERO — enfoque en supervivencia y valor de las partes</t>
  </si>
  <si>
    <t>Crecim. ingresos año 2</t>
  </si>
  <si>
    <t>Escala de Clyra + proyectos PFAS.</t>
  </si>
  <si>
    <t>Crecim. ingresos año 3</t>
  </si>
  <si>
    <t>Agua PFAS + energía empiezan a contribuir.</t>
  </si>
  <si>
    <t>Los ratios de rentabilidad no aplican (pierde). El foco: quema de caja, pista de liquidez (corta), y el valor de las 4 apuestas. Metodología Celsia adaptada a una incubadora frágil.</t>
  </si>
  <si>
    <t>Crecim. ingresos año 4</t>
  </si>
  <si>
    <t>Múltiples líneas a volumen.</t>
  </si>
  <si>
    <t>Indicador</t>
  </si>
  <si>
    <t>Crecim. ingresos año 5</t>
  </si>
  <si>
    <t>Maduración.</t>
  </si>
  <si>
    <t>Interpretación</t>
  </si>
  <si>
    <t>Margen EBIT año 1</t>
  </si>
  <si>
    <t>1 · SUPERVIVENCIA (lo más importante aquí)</t>
  </si>
  <si>
    <t>Aún muy negativo: costos fijos &gt; ingresos.</t>
  </si>
  <si>
    <t>Margen EBIT año 2</t>
  </si>
  <si>
    <t>Se reduce la pérdida al recuperar ingresos.</t>
  </si>
  <si>
    <t>Margen EBIT año 3</t>
  </si>
  <si>
    <t>Caja disponible (miles $)</t>
  </si>
  <si>
    <t>Cerca del breakeven.</t>
  </si>
  <si>
    <t>Margen EBIT año 4</t>
  </si>
  <si>
    <t>CRUCE a rentabilidad operativa.</t>
  </si>
  <si>
    <t>Margen EBIT año 5</t>
  </si>
  <si>
    <t>Apalancamiento operativo (margen bruto alto).</t>
  </si>
  <si>
    <t>Estado maduro (si las apuestas escalan).</t>
  </si>
  <si>
    <t>Depreciación como % ventas</t>
  </si>
  <si>
    <t>Bajo: modelo capital-light.</t>
  </si>
  <si>
    <t>~$3.9M. El colchón, muy delgado.</t>
  </si>
  <si>
    <t>CapEx como % ventas</t>
  </si>
  <si>
    <t>Quema operativa anual (miles $)</t>
  </si>
  <si>
    <t>Bajo: capital-light, poca inversión en activos.</t>
  </si>
  <si>
    <t>Working capital como % ventas</t>
  </si>
  <si>
    <t>CxC + inventario.</t>
  </si>
  <si>
    <t>Piso mínimo de caja (miles $)</t>
  </si>
  <si>
    <t>Debe levantar capital si baja de aquí (dilución).</t>
  </si>
  <si>
    <t>Efectivo que consume la operación al año.</t>
  </si>
  <si>
    <t>Pista de liquidez (meses)</t>
  </si>
  <si>
    <t>Meses que dura la caja. CORTA: presiona a levantar capital.</t>
  </si>
  <si>
    <t>2 · MARGEN Y ESTRUCTURA</t>
  </si>
  <si>
    <t>Margen bruto</t>
  </si>
  <si>
    <t>Alto (~46%): el producto tiene valor. Buena señal.</t>
  </si>
  <si>
    <t>Pérdida operativa (miles $)</t>
  </si>
  <si>
    <t>Pérdida operativa / Ingresos</t>
  </si>
  <si>
    <t>Cuánto pierde por cada $ vendido. Empeora al caer Pooph.</t>
  </si>
  <si>
    <t>3 · CRECIMIENTO / RESILIENCIA</t>
  </si>
  <si>
    <t>Ingresos totales (miles $)</t>
  </si>
  <si>
    <t>Cayó por Pooph: la métrica más dolorosa.</t>
  </si>
  <si>
    <t>Ingreso por servicios (miles $)</t>
  </si>
  <si>
    <t>Se duplicó a ~$2M: la parte resiliente y recurrente.</t>
  </si>
  <si>
    <t>4 · CONTEXTO DE VALORACIÓN</t>
  </si>
  <si>
    <t>Market cap (miles $)</t>
  </si>
  <si>
    <t>~$42M. Micro-cap.</t>
  </si>
  <si>
    <t>Suma de partes estimada (miles $)</t>
  </si>
  <si>
    <t>Valor de las 4 apuestas juntas. Ver hoja Valoración.</t>
  </si>
  <si>
    <t>Diagnóstico: a BioLargo hay que analizarla como lo que es — una incubadora frágil que acaba de perder su fuente de caja y necesita que alguna de sus apuestas prospere antes de agotar su colchón. El análisis de supervivencia es lo primero: con ~$3.9M de caja y una quema de varios millones al año, su pista de liquidez es corta, lo que la obliga a levantar capital periódicamente (diluyendo a los accionistas) o a acelerar la comercialización. Hay señales de resiliencia: el margen bruto se mantiene alto y el negocio de servicios crece, lo que prueba que la maquinaria subyacente funciona. Pero el veredicto financiero es que esta empresa no se valora por sus números actuales —que son de una empresa en crisis de transición— sino por la suma del valor de sus cuatro apuestas tecnológicas (Clyra, agua PFAS, baterías y servicios), cada una de las cuales podría valer mucho o nada. Es la definición de una apuesta de altísimo riesgo y altísima incertidumbre.</t>
  </si>
  <si>
    <t>MODELO DE TRES ESTADOS PROYECTADOS Y ENLAZADOS (5 años) — BioLargo (miles $)</t>
  </si>
  <si>
    <t>Recuperación tras Pooph: los ingresos parten del fondo (~$5M) y se recuperan al escalar las apuestas. El margen cruza a positivo TARDE (año 4). Balance débil: la caja tiene un piso; si lo cruza, necesita financiarse (dilución). DESCUADRE verifica el cuadre (=0).</t>
  </si>
  <si>
    <t>Base FY26e</t>
  </si>
  <si>
    <t>Año 1</t>
  </si>
  <si>
    <t>Año 2</t>
  </si>
  <si>
    <t>Año 3</t>
  </si>
  <si>
    <t>Año 4</t>
  </si>
  <si>
    <t>Año 5</t>
  </si>
  <si>
    <t>Notas / enlace</t>
  </si>
  <si>
    <t>1 · ESTADO DE RESULTADOS</t>
  </si>
  <si>
    <t>Ingresos</t>
  </si>
  <si>
    <t>Recuperación desde el fondo post-Pooph.</t>
  </si>
  <si>
    <t xml:space="preserve">  Crecimiento %</t>
  </si>
  <si>
    <t>Ingreso operativo (EBIT)</t>
  </si>
  <si>
    <t>Ventas × margen EBIT (negativo hasta año 4).</t>
  </si>
  <si>
    <t xml:space="preserve">  Margen EBIT %</t>
  </si>
  <si>
    <t>De −100% a +15%. Cruza a positivo en el año 4.</t>
  </si>
  <si>
    <t>Utilidad antes de impuestos</t>
  </si>
  <si>
    <t>Sin caja significativa: sin ingreso por intereses relevante.</t>
  </si>
  <si>
    <t xml:space="preserve">   (−) Impuestos</t>
  </si>
  <si>
    <t>Solo si hay utilidad.</t>
  </si>
  <si>
    <t>UTILIDAD (PÉRDIDA) NETA</t>
  </si>
  <si>
    <t>2 · BALANCE GENERAL</t>
  </si>
  <si>
    <t>Caja</t>
  </si>
  <si>
    <t>VALORACIÓN — Suma de Partes (principal) · WACC · DCF</t>
  </si>
  <si>
    <t>Incubadora multi-tecnología: el método principal es SUMA DE PARTES (valorar cada apuesta). El DCF consolidado es secundario y muy incierto. Amarillo=editable. Cifras internas en miles $.</t>
  </si>
  <si>
    <t>1 · SUMA DE PARTES (método principal)</t>
  </si>
  <si>
    <t>← Caja final del Flujo (con piso).</t>
  </si>
  <si>
    <t>Segmento / apuesta</t>
  </si>
  <si>
    <t>Valor (miles $)</t>
  </si>
  <si>
    <t>Qué es y por qué vale eso</t>
  </si>
  <si>
    <t>Ratio CxC/ventas.</t>
  </si>
  <si>
    <t>Filial médica, la más cercana a escalar. Ref: rondas previas.</t>
  </si>
  <si>
    <t>Opción sobre la crisis de "químicos eternos". &gt;$200M pipeline.</t>
  </si>
  <si>
    <t>Almacenamiento de energía. Muy temprano, alta opcionalidad.</t>
  </si>
  <si>
    <t>Ratio inventario/ventas.</t>
  </si>
  <si>
    <t>PP&amp;E + otros</t>
  </si>
  <si>
    <t>Negocio recurrente y rentable. El más "cierto".</t>
  </si>
  <si>
    <t>(+) Caja − deuda (miles $)</t>
  </si>
  <si>
    <t>Ajuste por balance neto.</t>
  </si>
  <si>
    <t>VALOR TOTAL (suma de partes, miles $)</t>
  </si>
  <si>
    <t>+ CapEx − depreciación (capital-light).</t>
  </si>
  <si>
    <t>Valor por acción — Suma de Partes ($)</t>
  </si>
  <si>
    <t>Otros activos (resto)</t>
  </si>
  <si>
    <t>Resto constante.</t>
  </si>
  <si>
    <t>2 · COSTO DE CAPITAL (WACC vía CAPM)</t>
  </si>
  <si>
    <t>Tasa libre de riesgo (Rf)</t>
  </si>
  <si>
    <t xml:space="preserve">   Pasivos operativos</t>
  </si>
  <si>
    <t>De DATOS.</t>
  </si>
  <si>
    <t>Prima de riesgo (ERP)</t>
  </si>
  <si>
    <t>Beta desapalancado (βu)</t>
  </si>
  <si>
    <t>Micro-cap pre-rentabilidad. Muy alto. De DATOS.</t>
  </si>
  <si>
    <t>Valor de mercado del equity (miles $)</t>
  </si>
  <si>
    <t>Precio × ~380M acciones.</t>
  </si>
  <si>
    <t>Ratio pasivos oper./ventas.</t>
  </si>
  <si>
    <t>Valor de la deuda (miles $)</t>
  </si>
  <si>
    <t>Financiación acumulada (plug)</t>
  </si>
  <si>
    <t>Deuda modesta.</t>
  </si>
  <si>
    <t>Peso deuda D/(D+E)</t>
  </si>
  <si>
    <t>PLUG: capital/deuda que necesita levantar para cuadrar.</t>
  </si>
  <si>
    <t>Peso equity E/(D+E)</t>
  </si>
  <si>
    <t>Tasa impositiva (t)</t>
  </si>
  <si>
    <t>Previo + utilidad (o − pérdida).</t>
  </si>
  <si>
    <t>TOTAL PASIVO + PATRIMONIO</t>
  </si>
  <si>
    <t>Beta apalancado (βL, Hamada)</t>
  </si>
  <si>
    <t>DESCUADRE (Activo − Pas − Patr)</t>
  </si>
  <si>
    <t>βu×(1+(1−t)×D/E).</t>
  </si>
  <si>
    <t>Costo del equity (Ke=CAPM)</t>
  </si>
  <si>
    <t>DEBE SER 0.</t>
  </si>
  <si>
    <t>Rf+βL×ERP.</t>
  </si>
  <si>
    <t>3 · FLUJO DE CAJA</t>
  </si>
  <si>
    <t>Costo de la deuda (Kd)</t>
  </si>
  <si>
    <t>Utilidad (pérdida) neta</t>
  </si>
  <si>
    <t>WACC</t>
  </si>
  <si>
    <t>← Resultados.</t>
  </si>
  <si>
    <t xml:space="preserve">   (+) Depreciación</t>
  </si>
  <si>
    <t>Muy alto: micro-cap de máximo riesgo.</t>
  </si>
  <si>
    <t>3 · DCF consolidado (secundario, referencial)</t>
  </si>
  <si>
    <t>Año</t>
  </si>
  <si>
    <t>FCF (miles $)</t>
  </si>
  <si>
    <t>VP (miles $)</t>
  </si>
  <si>
    <t>FCF de Proyecciones. Negativo al inicio.</t>
  </si>
  <si>
    <t>No-caja.</t>
  </si>
  <si>
    <t xml:space="preserve">   (−) Δ Capital de trabajo</t>
  </si>
  <si>
    <t>Sobre crecimiento de ventas.</t>
  </si>
  <si>
    <t>Flujo de caja operativo</t>
  </si>
  <si>
    <t xml:space="preserve">   (−) CapEx</t>
  </si>
  <si>
    <t>% de ventas (capital-light).</t>
  </si>
  <si>
    <t>Flujo de caja libre (FCF)</t>
  </si>
  <si>
    <t>OCF − CapEx. Alimenta el DCF. Negativo al inicio.</t>
  </si>
  <si>
    <t xml:space="preserve">   Caja inicial</t>
  </si>
  <si>
    <t>FCF terminal normalizado (miles $)</t>
  </si>
  <si>
    <t xml:space="preserve">   (+) Capital levantado (si toca el piso)</t>
  </si>
  <si>
    <t>Ventas año5 × margen terminal × (1−t).</t>
  </si>
  <si>
    <t>Valor terminal (Gordon, g=3%)</t>
  </si>
  <si>
    <t>Emite capital si la caja bajaría del piso. Refleja dilución.</t>
  </si>
  <si>
    <t>g perpetuo 3%.</t>
  </si>
  <si>
    <t>Valor patrimonio — DCF (miles $)</t>
  </si>
  <si>
    <t>Caja final</t>
  </si>
  <si>
    <t>→ Caja del Balance. Nunca baja del piso.</t>
  </si>
  <si>
    <t>Cómo leerlo: esta proyección modela una recuperación, no una historia de crecimiento limpio. BioLargo parte del fondo al que la dejó el fin de Pooph (~$5M de ingresos) y crece a medida que sus apuestas —Clyra médico, agua PFAS, servicios— toman tracción, cruzando a rentabilidad operativa alrededor del año 4. La diferencia clave frente a las otras empresas de opción del portafolio está en la fila de "Capital levantado": como el colchón de caja es delgado, el modelo asume que, cuando la caja amenazaría con caer por debajo de un piso mínimo, la empresa emite acciones para reponerla. Eso mantiene la caja a flote (nunca baja del piso) pero tiene un costo real que no aparece en esta hoja: cada emisión diluye a los accionistas existentes. Todo cuadra (Descuadre=0). El mensaje: la supervivencia está modelada, pero a costa de dilución, y todo depende de que las apuestas efectivamente despeguen.</t>
  </si>
  <si>
    <t>Valor por acción — DCF ($)</t>
  </si>
  <si>
    <t>4 · SÍNTESIS</t>
  </si>
  <si>
    <t>Valor/acción — Suma de Partes ($)</t>
  </si>
  <si>
    <t>Método principal: valor de las 4 apuestas + caja neta.</t>
  </si>
  <si>
    <t>Valor/acción — DCF ($)</t>
  </si>
  <si>
    <t>Secundario: si la recuperación proyectada se cumple.</t>
  </si>
  <si>
    <t>Precio de mercado ($)</t>
  </si>
  <si>
    <t>Margen de seguridad (vs SoP / vs DCF)</t>
  </si>
  <si>
    <t>Positivo = infravalorada por ese método.</t>
  </si>
  <si>
    <t>ADVERTENCIA: BioLargo es la apuesta más pequeña y frágil del portafolio. Su valor es una SUMA DE OPCIONES (Clyra, agua PFAS, baterías, servicios), cada una de las cuales podría valer mucho o nada — los valores por segmento son estimaciones editables, no cifras firmes. El riesgo de liquidez es real: con ~$3.9M de caja, la empresa depende de levantar capital periódicamente, lo que diluye a los accionistas (ver fila "Capital levantado" en Proyecciones). El fin de la licencia Pooph demostró lo vulnerable que es su base de ingresos. Alto riesgo de pérdida total; alta asimetría si una apuesta —especialmente el agua PFAS— prospera. Ajusta los valores de suma de partes según tu propio criterio sobre cada tecnología.</t>
  </si>
  <si>
    <t>ANÁLISIS DE SENSIBILIDAD — Valor por acción (Suma de Partes)</t>
  </si>
  <si>
    <t>Valor de la apuesta de agua PFAS (filas) × valor de Clyra Medical (columnas), en $M. Son las dos opciones de mayor peso e incertidumbre.</t>
  </si>
  <si>
    <t>Agua PFAS \ Clyra ($M)</t>
  </si>
  <si>
    <t>ANÁLISIS DE COMPARABLES (Comps) — cleantech / tratamiento de agua / micro-cap</t>
  </si>
  <si>
    <t>Ancla BLGO contra cleantech de agua/PFAS y micro-caps de tecnología. Casi todas pre-rentabilidad → EV/Ventas y P/VC. Múltiplos aprox/editables (azul).</t>
  </si>
  <si>
    <t>Empresa</t>
  </si>
  <si>
    <t>Ticker</t>
  </si>
  <si>
    <t>EV/Ventas</t>
  </si>
  <si>
    <t>P/VC</t>
  </si>
  <si>
    <t>Gorilla Technology</t>
  </si>
  <si>
    <t>GRRR</t>
  </si>
  <si>
    <t>Cleantech/IoT. Referencia de small-cap tech.</t>
  </si>
  <si>
    <t>CECO Environmental</t>
  </si>
  <si>
    <t>CECO</t>
  </si>
  <si>
    <t>Soluciones ambientales, rentable. Ancla madura.</t>
  </si>
  <si>
    <t>Montrose Environmental</t>
  </si>
  <si>
    <t>MEG</t>
  </si>
  <si>
    <t>Servicios ambientales incl. PFAS. Referencia sectorial.</t>
  </si>
  <si>
    <t>Energy Recovery</t>
  </si>
  <si>
    <t>ERII</t>
  </si>
  <si>
    <t>Tecnología de agua, rentable.</t>
  </si>
  <si>
    <t>PureCycle Technologies</t>
  </si>
  <si>
    <t>PCT</t>
  </si>
  <si>
    <t>n/d</t>
  </si>
  <si>
    <t>Cleantech pre-rentabilidad (reciclaje). Comparable de opción.</t>
  </si>
  <si>
    <t>MEDIANA</t>
  </si>
  <si>
    <t>VALORACIÓN IMPLÍCITA DE BLGO ($/acción)</t>
  </si>
  <si>
    <t>Método</t>
  </si>
  <si>
    <t>Base (miles $)</t>
  </si>
  <si>
    <t>× múltiplo</t>
  </si>
  <si>
    <t>Valor/acción</t>
  </si>
  <si>
    <t>Nota</t>
  </si>
  <si>
    <t>Por EV/Ventas (ingreso año3 proj)</t>
  </si>
  <si>
    <t>Ventas recuperadas (año3) × múltiplo + caja neta.</t>
  </si>
  <si>
    <t>Por P/VC (patrimonio)</t>
  </si>
  <si>
    <t>Patrimonio × P/VC mediana.</t>
  </si>
  <si>
    <t>Nota: BioLargo no tiene comparables perfectos — es una mezcla de cleantech de agua, dispositivos médicos y baterías. Los comparables de tratamiento de agua y servicios ambientales (Montrose, CECO, Energy Recovery) enmarcan su negocio de PFAS y servicios; PureCycle aporta una referencia de cleantech pre-rentabilidad valorada por opción. Como la base de ingresos de BLGO está deprimida tras Pooph, el comparable por ventas se aplica sobre los ingresos ya recuperados del año 3 proyectado, no sobre los actuales. Todos estos métodos son orientativos: para una incubadora tan pequeña, la suma de partes (hoja Valoración) es más informativa que los múltiplos de mercado.</t>
  </si>
  <si>
    <t>Precio de mercado:</t>
  </si>
  <si>
    <t>Compara cada celda con el precio de ~$0.11.</t>
  </si>
  <si>
    <t>Lectura: en una incubadora como BioLargo, el valor por acción depende casi por completo de cuánto valgan sus apuestas individuales — y esas valoraciones son muy inciertas. La tabla lo hace explícito: si el agua PFAS y Clyra resultan valiosas (esquina inferior derecha), el valor por acción supera con holgura el precio actual; si ambas decepcionan (esquina superior izquierda), el valor colapsa. El rango es enorme, lo que refleja honestamente que esto es una cartera de opciones binarias más que un negocio predecible. La apuesta central para el inversor es si el mercado del agua PFAS —una crisis regulatoria global— se materializa en contratos para BioLargo.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</si>
</sst>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
    <numFmt numFmtId="165" formatCode="#,##0;\(#,##0\);\-"/>
    <numFmt numFmtId="166" formatCode="\$#,##0"/>
    <numFmt numFmtId="167" formatCode="#,##0.000"/>
    <numFmt numFmtId="168" formatCode="#,##0.0"/>
    <numFmt numFmtId="169" formatCode="0.00\x"/>
    <numFmt numFmtId="170" formatCode="0.0%"/>
    <numFmt numFmtId="171" formatCode="#,##0&quot; meses&quot;"/>
    <numFmt numFmtId="172" formatCode="0.0\x"/>
  </numFmts>
  <fonts count="24">
    <font>
      <sz val="11.0"/>
      <color theme="1"/>
      <name val="Calibri"/>
      <scheme val="minor"/>
    </font>
    <font>
      <sz val="11.0"/>
      <color theme="1"/>
      <name val="Calibri"/>
    </font>
    <font>
      <b/>
      <sz val="14.0"/>
      <color rgb="FFFFFFFF"/>
      <name val="Arial"/>
    </font>
    <font>
      <b/>
      <sz val="13.0"/>
      <color rgb="FFFFFFFF"/>
      <name val="Arial"/>
    </font>
    <font/>
    <font>
      <i/>
      <sz val="8.0"/>
      <color rgb="FF808080"/>
      <name val="Arial"/>
    </font>
    <font>
      <b/>
      <sz val="11.0"/>
      <color theme="1"/>
      <name val="Arial"/>
    </font>
    <font>
      <b/>
      <sz val="9.0"/>
      <color rgb="FFFFFFFF"/>
      <name val="Arial"/>
    </font>
    <font>
      <b/>
      <sz val="10.0"/>
      <color theme="1"/>
      <name val="Arial"/>
    </font>
    <font>
      <b/>
      <sz val="10.0"/>
      <color rgb="FF1B5E4F"/>
      <name val="Arial"/>
    </font>
    <font>
      <sz val="10.0"/>
      <color rgb="FF008000"/>
      <name val="Arial"/>
    </font>
    <font>
      <b/>
      <sz val="10.0"/>
      <color rgb="FF008000"/>
      <name val="Arial"/>
    </font>
    <font>
      <sz val="10.0"/>
      <color rgb="FF000000"/>
      <name val="Arial"/>
    </font>
    <font>
      <sz val="10.0"/>
      <color rgb="FF0000FF"/>
      <name val="Arial"/>
    </font>
    <font>
      <sz val="9.0"/>
      <color rgb="FF404040"/>
      <name val="Arial"/>
    </font>
    <font>
      <b/>
      <sz val="9.0"/>
      <color rgb="FF1B5E4F"/>
      <name val="Arial"/>
    </font>
    <font>
      <b/>
      <sz val="9.0"/>
      <color theme="1"/>
      <name val="Arial"/>
    </font>
    <font>
      <i/>
      <sz val="8.0"/>
      <color rgb="FF606060"/>
      <name val="Arial"/>
    </font>
    <font>
      <i/>
      <sz val="8.0"/>
      <color rgb="FFC00000"/>
      <name val="Arial"/>
    </font>
    <font>
      <i/>
      <sz val="9.0"/>
      <color rgb="FFC00000"/>
      <name val="Arial"/>
    </font>
    <font>
      <i/>
      <sz val="9.0"/>
      <color rgb="FF1B5E4F"/>
      <name val="Arial"/>
    </font>
    <font>
      <sz val="8.0"/>
      <color rgb="FF606060"/>
      <name val="Arial"/>
    </font>
    <font>
      <b/>
      <sz val="12.0"/>
      <color rgb="FFFFFFFF"/>
      <name val="Arial"/>
    </font>
    <font>
      <b/>
      <sz val="10.0"/>
      <color rgb="FFFFFFFF"/>
      <name val="Arial"/>
    </font>
  </fonts>
  <fills count="15">
    <fill>
      <patternFill patternType="none"/>
    </fill>
    <fill>
      <patternFill patternType="lightGray"/>
    </fill>
    <fill>
      <patternFill patternType="solid">
        <fgColor rgb="FF1B5E4F"/>
        <bgColor rgb="FF1B5E4F"/>
      </patternFill>
    </fill>
    <fill>
      <patternFill patternType="solid">
        <fgColor rgb="FFDCEEE8"/>
        <bgColor rgb="FFDCEEE8"/>
      </patternFill>
    </fill>
    <fill>
      <patternFill patternType="solid">
        <fgColor rgb="FF2E8B74"/>
        <bgColor rgb="FF2E8B74"/>
      </patternFill>
    </fill>
    <fill>
      <patternFill patternType="solid">
        <fgColor rgb="FF548235"/>
        <bgColor rgb="FF548235"/>
      </patternFill>
    </fill>
    <fill>
      <patternFill patternType="solid">
        <fgColor rgb="FF3AA88C"/>
        <bgColor rgb="FF3AA88C"/>
      </patternFill>
    </fill>
    <fill>
      <patternFill patternType="solid">
        <fgColor rgb="FFBF8F00"/>
        <bgColor rgb="FFBF8F00"/>
      </patternFill>
    </fill>
    <fill>
      <patternFill patternType="solid">
        <fgColor rgb="FFF8CBAD"/>
        <bgColor rgb="FFF8CBAD"/>
      </patternFill>
    </fill>
    <fill>
      <patternFill patternType="solid">
        <fgColor rgb="FFCDE6DE"/>
        <bgColor rgb="FFCDE6DE"/>
      </patternFill>
    </fill>
    <fill>
      <patternFill patternType="solid">
        <fgColor rgb="FFFFF2CC"/>
        <bgColor rgb="FFFFF2CC"/>
      </patternFill>
    </fill>
    <fill>
      <patternFill patternType="solid">
        <fgColor rgb="FFE8F4F0"/>
        <bgColor rgb="FFE8F4F0"/>
      </patternFill>
    </fill>
    <fill>
      <patternFill patternType="solid">
        <fgColor rgb="FFFFE699"/>
        <bgColor rgb="FFFFE699"/>
      </patternFill>
    </fill>
    <fill>
      <patternFill patternType="solid">
        <fgColor rgb="FFC6E0B4"/>
        <bgColor rgb="FFC6E0B4"/>
      </patternFill>
    </fill>
    <fill>
      <patternFill patternType="solid">
        <fgColor rgb="FFFFFF00"/>
        <bgColor rgb="FFFFFF00"/>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0" fillId="0" fontId="5" numFmtId="0" xfId="0" applyAlignment="1" applyFont="1">
      <alignment horizontal="left" shrinkToFit="0" vertical="center" wrapText="1"/>
    </xf>
    <xf borderId="4" fillId="3" fontId="6" numFmtId="0" xfId="0" applyAlignment="1" applyBorder="1" applyFill="1" applyFont="1">
      <alignment shrinkToFit="0" vertical="bottom" wrapText="0"/>
    </xf>
    <xf borderId="4" fillId="4" fontId="7" numFmtId="0" xfId="0" applyAlignment="1" applyBorder="1" applyFill="1" applyFont="1">
      <alignment shrinkToFit="0" vertical="bottom" wrapText="0"/>
    </xf>
    <xf borderId="4" fillId="3" fontId="1" numFmtId="0" xfId="0" applyAlignment="1" applyBorder="1" applyFont="1">
      <alignment shrinkToFit="0" vertical="bottom" wrapText="0"/>
    </xf>
    <xf borderId="4" fillId="4" fontId="7" numFmtId="0" xfId="0" applyAlignment="1" applyBorder="1" applyFont="1">
      <alignment horizontal="center" shrinkToFit="0" vertical="center" wrapText="1"/>
    </xf>
    <xf borderId="4" fillId="0" fontId="8" numFmtId="0" xfId="0" applyAlignment="1" applyBorder="1" applyFont="1">
      <alignment horizontal="left" shrinkToFit="0" vertical="center" wrapText="1"/>
    </xf>
    <xf borderId="4" fillId="3" fontId="9" numFmtId="0" xfId="0" applyAlignment="1" applyBorder="1" applyFont="1">
      <alignment shrinkToFit="0" vertical="bottom" wrapText="0"/>
    </xf>
    <xf borderId="5" fillId="5" fontId="7" numFmtId="0" xfId="0" applyAlignment="1" applyBorder="1" applyFill="1" applyFont="1">
      <alignment horizontal="center" shrinkToFit="0" vertical="center" wrapText="1"/>
    </xf>
    <xf borderId="6" fillId="0" fontId="4" numFmtId="0" xfId="0" applyBorder="1" applyFont="1"/>
    <xf borderId="5" fillId="4" fontId="7" numFmtId="0" xfId="0" applyAlignment="1" applyBorder="1" applyFont="1">
      <alignment horizontal="center" shrinkToFit="0" vertical="center" wrapText="1"/>
    </xf>
    <xf borderId="7" fillId="0" fontId="4" numFmtId="0" xfId="0" applyBorder="1" applyFont="1"/>
    <xf borderId="5" fillId="6" fontId="7" numFmtId="0" xfId="0" applyAlignment="1" applyBorder="1" applyFill="1" applyFont="1">
      <alignment horizontal="center" shrinkToFit="0" vertical="center" wrapText="1"/>
    </xf>
    <xf borderId="4" fillId="0" fontId="1" numFmtId="0" xfId="0" applyAlignment="1" applyBorder="1" applyFont="1">
      <alignment shrinkToFit="0" vertical="bottom" wrapText="0"/>
    </xf>
    <xf borderId="5" fillId="7" fontId="7" numFmtId="0" xfId="0" applyAlignment="1" applyBorder="1" applyFill="1" applyFont="1">
      <alignment horizontal="center" shrinkToFit="0" vertical="center" wrapText="1"/>
    </xf>
    <xf borderId="4" fillId="0" fontId="10" numFmtId="164" xfId="0" applyAlignment="1" applyBorder="1" applyFont="1" applyNumberFormat="1">
      <alignment horizontal="center" shrinkToFit="0" vertical="center" wrapText="1"/>
    </xf>
    <xf borderId="4" fillId="8" fontId="11" numFmtId="165" xfId="0" applyAlignment="1" applyBorder="1" applyFill="1" applyFont="1" applyNumberFormat="1">
      <alignment horizontal="center" shrinkToFit="0" vertical="center" wrapText="1"/>
    </xf>
    <xf borderId="4" fillId="0" fontId="5" numFmtId="0" xfId="0" applyAlignment="1" applyBorder="1" applyFont="1">
      <alignment horizontal="left" shrinkToFit="0" vertical="center" wrapText="1"/>
    </xf>
    <xf borderId="4" fillId="4" fontId="7"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4" fillId="0" fontId="10" numFmtId="166" xfId="0" applyAlignment="1" applyBorder="1" applyFont="1" applyNumberFormat="1">
      <alignment horizontal="center" shrinkToFit="0" vertical="center" wrapText="1"/>
    </xf>
    <xf borderId="4" fillId="9" fontId="9" numFmtId="0" xfId="0" applyAlignment="1" applyBorder="1" applyFill="1" applyFont="1">
      <alignment horizontal="left" shrinkToFit="0" vertical="center" wrapText="1"/>
    </xf>
    <xf borderId="4" fillId="0" fontId="10" numFmtId="165" xfId="0" applyAlignment="1" applyBorder="1" applyFont="1" applyNumberFormat="1">
      <alignment horizontal="center" shrinkToFit="0" vertical="center" wrapText="1"/>
    </xf>
    <xf borderId="4" fillId="9" fontId="1" numFmtId="0" xfId="0" applyAlignment="1" applyBorder="1" applyFont="1">
      <alignment shrinkToFit="0" vertical="bottom" wrapText="0"/>
    </xf>
    <xf borderId="4" fillId="0" fontId="11" numFmtId="165" xfId="0" applyAlignment="1" applyBorder="1" applyFont="1" applyNumberFormat="1">
      <alignment horizontal="center" shrinkToFit="0" vertical="center" wrapText="1"/>
    </xf>
    <xf borderId="4" fillId="10" fontId="13" numFmtId="165" xfId="0" applyAlignment="1" applyBorder="1" applyFill="1" applyFont="1" applyNumberFormat="1">
      <alignment horizontal="center" shrinkToFit="0" vertical="center" wrapText="1"/>
    </xf>
    <xf borderId="4" fillId="11" fontId="13" numFmtId="165" xfId="0" applyAlignment="1" applyBorder="1" applyFill="1" applyFont="1" applyNumberFormat="1">
      <alignment horizontal="center" shrinkToFit="0" vertical="center" wrapText="1"/>
    </xf>
    <xf borderId="4" fillId="11" fontId="12" numFmtId="0" xfId="0" applyAlignment="1" applyBorder="1" applyFont="1">
      <alignment horizontal="center" shrinkToFit="0" vertical="center" wrapText="1"/>
    </xf>
    <xf borderId="4" fillId="10" fontId="12" numFmtId="0" xfId="0" applyAlignment="1" applyBorder="1" applyFont="1">
      <alignment horizontal="center" shrinkToFit="0" vertical="center" wrapText="1"/>
    </xf>
    <xf borderId="4" fillId="12" fontId="8" numFmtId="0" xfId="0" applyAlignment="1" applyBorder="1" applyFill="1" applyFont="1">
      <alignment horizontal="center" shrinkToFit="0" vertical="center" wrapText="1"/>
    </xf>
    <xf borderId="4" fillId="0" fontId="14" numFmtId="0" xfId="0" applyAlignment="1" applyBorder="1" applyFont="1">
      <alignment horizontal="left" shrinkToFit="0" vertical="center" wrapText="1"/>
    </xf>
    <xf borderId="4" fillId="8" fontId="8" numFmtId="0" xfId="0" applyAlignment="1" applyBorder="1" applyFont="1">
      <alignment horizontal="center" shrinkToFit="0" vertical="center" wrapText="1"/>
    </xf>
    <xf borderId="4" fillId="10" fontId="13" numFmtId="167" xfId="0" applyAlignment="1" applyBorder="1" applyFont="1" applyNumberFormat="1">
      <alignment horizontal="center" shrinkToFit="0" vertical="center" wrapText="1"/>
    </xf>
    <xf borderId="4" fillId="11" fontId="13" numFmtId="167" xfId="0" applyAlignment="1" applyBorder="1" applyFont="1" applyNumberFormat="1">
      <alignment horizontal="center" shrinkToFit="0" vertical="center" wrapText="1"/>
    </xf>
    <xf borderId="4" fillId="13" fontId="8" numFmtId="0" xfId="0" applyAlignment="1" applyBorder="1" applyFill="1" applyFont="1">
      <alignment horizontal="center" shrinkToFit="0" vertical="center" wrapText="1"/>
    </xf>
    <xf borderId="4" fillId="11" fontId="13" numFmtId="168" xfId="0" applyAlignment="1" applyBorder="1" applyFont="1" applyNumberFormat="1">
      <alignment horizontal="center" shrinkToFit="0" vertical="center" wrapText="1"/>
    </xf>
    <xf borderId="4" fillId="0" fontId="15"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4" fillId="0" fontId="12" numFmtId="169" xfId="0" applyAlignment="1" applyBorder="1" applyFont="1" applyNumberFormat="1">
      <alignment horizontal="center" shrinkToFit="0" vertical="center" wrapText="1"/>
    </xf>
    <xf borderId="4" fillId="0" fontId="12" numFmtId="170" xfId="0" applyAlignment="1" applyBorder="1" applyFont="1" applyNumberFormat="1">
      <alignment horizontal="center" shrinkToFit="0" vertical="center" wrapText="1"/>
    </xf>
    <xf borderId="0" fillId="0" fontId="17" numFmtId="0" xfId="0" applyAlignment="1" applyFont="1">
      <alignment horizontal="left" shrinkToFit="0" vertical="center" wrapText="1"/>
    </xf>
    <xf borderId="0" fillId="0" fontId="18" numFmtId="0" xfId="0" applyAlignment="1" applyFont="1">
      <alignment horizontal="left" shrinkToFit="0" vertical="center" wrapText="1"/>
    </xf>
    <xf borderId="0" fillId="0" fontId="19" numFmtId="0" xfId="0" applyAlignment="1" applyFont="1">
      <alignment horizontal="left" shrinkToFit="0" vertical="center" wrapText="1"/>
    </xf>
    <xf borderId="4" fillId="11" fontId="13" numFmtId="3" xfId="0" applyAlignment="1" applyBorder="1" applyFont="1" applyNumberFormat="1">
      <alignment horizontal="center" shrinkToFit="0" vertical="center" wrapText="1"/>
    </xf>
    <xf borderId="4" fillId="11" fontId="13" numFmtId="170" xfId="0" applyAlignment="1" applyBorder="1" applyFont="1" applyNumberFormat="1">
      <alignment horizontal="center" shrinkToFit="0" vertical="center" wrapText="1"/>
    </xf>
    <xf borderId="4" fillId="11" fontId="13" numFmtId="2" xfId="0" applyAlignment="1" applyBorder="1" applyFont="1" applyNumberFormat="1">
      <alignment horizontal="center" shrinkToFit="0" vertical="center" wrapText="1"/>
    </xf>
    <xf borderId="0" fillId="0" fontId="20" numFmtId="0" xfId="0" applyAlignment="1" applyFont="1">
      <alignment horizontal="left" shrinkToFit="0" vertical="center" wrapText="1"/>
    </xf>
    <xf borderId="0" fillId="0" fontId="21" numFmtId="0" xfId="0" applyAlignment="1" applyFont="1">
      <alignment horizontal="left" shrinkToFit="0" vertical="center" wrapText="1"/>
    </xf>
    <xf borderId="4" fillId="14" fontId="13" numFmtId="3" xfId="0" applyAlignment="1" applyBorder="1" applyFill="1" applyFont="1" applyNumberFormat="1">
      <alignment horizontal="center" shrinkToFit="0" vertical="center" wrapText="0"/>
    </xf>
    <xf borderId="4" fillId="14" fontId="13" numFmtId="170" xfId="0" applyAlignment="1" applyBorder="1" applyFont="1" applyNumberFormat="1">
      <alignment horizontal="center" shrinkToFit="0" vertical="center" wrapText="0"/>
    </xf>
    <xf borderId="1" fillId="2" fontId="22" numFmtId="0" xfId="0" applyAlignment="1" applyBorder="1" applyFont="1">
      <alignment horizontal="center" shrinkToFit="0" vertical="center" wrapText="1"/>
    </xf>
    <xf borderId="4" fillId="4" fontId="23" numFmtId="0" xfId="0" applyAlignment="1" applyBorder="1" applyFont="1">
      <alignment horizontal="left" shrinkToFit="0" vertical="center" wrapText="1"/>
    </xf>
    <xf borderId="4" fillId="4" fontId="1" numFmtId="0" xfId="0" applyAlignment="1" applyBorder="1" applyFont="1">
      <alignment shrinkToFit="0" vertical="bottom" wrapText="0"/>
    </xf>
    <xf borderId="4" fillId="0" fontId="12" numFmtId="165" xfId="0" applyAlignment="1" applyBorder="1" applyFont="1" applyNumberFormat="1">
      <alignment horizontal="center" shrinkToFit="0" vertical="center" wrapText="1"/>
    </xf>
    <xf borderId="4" fillId="0" fontId="12" numFmtId="171"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13" fontId="8" numFmtId="0" xfId="0" applyAlignment="1" applyBorder="1" applyFont="1">
      <alignment horizontal="left" shrinkToFit="0" vertical="center" wrapText="1"/>
    </xf>
    <xf borderId="4" fillId="13" fontId="8" numFmtId="165" xfId="0" applyAlignment="1" applyBorder="1" applyFont="1" applyNumberFormat="1">
      <alignment horizontal="center" shrinkToFit="0" vertical="center" wrapText="1"/>
    </xf>
    <xf borderId="4" fillId="3" fontId="7" numFmtId="0" xfId="0" applyAlignment="1" applyBorder="1" applyFont="1">
      <alignment shrinkToFit="0" vertical="bottom" wrapText="0"/>
    </xf>
    <xf borderId="4" fillId="3" fontId="7" numFmtId="0" xfId="0" applyAlignment="1" applyBorder="1" applyFont="1">
      <alignment horizontal="center" shrinkToFit="0" vertical="center" wrapText="1"/>
    </xf>
    <xf borderId="4" fillId="12" fontId="13" numFmtId="165" xfId="0" applyAlignment="1" applyBorder="1" applyFont="1" applyNumberFormat="1">
      <alignment horizontal="center" shrinkToFit="0" vertical="center" wrapText="1"/>
    </xf>
    <xf borderId="4" fillId="13" fontId="8" numFmtId="164" xfId="0" applyAlignment="1" applyBorder="1" applyFont="1" applyNumberFormat="1">
      <alignment horizontal="center" shrinkToFit="0" vertical="center" wrapText="1"/>
    </xf>
    <xf borderId="4" fillId="0" fontId="10" numFmtId="10" xfId="0" applyAlignment="1" applyBorder="1" applyFont="1" applyNumberFormat="1">
      <alignment horizontal="center" shrinkToFit="0" vertical="center" wrapText="1"/>
    </xf>
    <xf borderId="4" fillId="0" fontId="10" numFmtId="2" xfId="0" applyAlignment="1" applyBorder="1" applyFont="1" applyNumberFormat="1">
      <alignment horizontal="center" shrinkToFit="0" vertical="center" wrapText="1"/>
    </xf>
    <xf borderId="4" fillId="0" fontId="12" numFmtId="3" xfId="0" applyAlignment="1" applyBorder="1" applyFont="1" applyNumberFormat="1">
      <alignment horizontal="center" shrinkToFit="0" vertical="center" wrapText="1"/>
    </xf>
    <xf borderId="4" fillId="0" fontId="10" numFmtId="3" xfId="0" applyAlignment="1" applyBorder="1" applyFont="1" applyNumberFormat="1">
      <alignment horizontal="center" shrinkToFit="0" vertical="center" wrapText="1"/>
    </xf>
    <xf borderId="4" fillId="0" fontId="10" numFmtId="170" xfId="0" applyAlignment="1" applyBorder="1" applyFont="1" applyNumberFormat="1">
      <alignment horizontal="center" shrinkToFit="0" vertical="center" wrapText="1"/>
    </xf>
    <xf borderId="4" fillId="14" fontId="8" numFmtId="0" xfId="0" applyAlignment="1" applyBorder="1" applyFont="1">
      <alignment horizontal="left" shrinkToFit="0" vertical="center" wrapText="1"/>
    </xf>
    <xf borderId="4" fillId="0" fontId="12" numFmtId="2" xfId="0" applyAlignment="1" applyBorder="1" applyFont="1" applyNumberFormat="1">
      <alignment horizontal="center" shrinkToFit="0" vertical="center" wrapText="1"/>
    </xf>
    <xf borderId="4" fillId="14" fontId="8" numFmtId="165" xfId="0" applyAlignment="1" applyBorder="1" applyFont="1" applyNumberFormat="1">
      <alignment horizontal="center" shrinkToFit="0" vertical="center" wrapText="1"/>
    </xf>
    <xf borderId="4" fillId="12" fontId="12" numFmtId="10" xfId="0" applyAlignment="1" applyBorder="1" applyFont="1" applyNumberFormat="1">
      <alignment horizontal="center" shrinkToFit="0" vertical="center" wrapText="1"/>
    </xf>
    <xf borderId="4" fillId="14" fontId="8" numFmtId="10" xfId="0" applyAlignment="1" applyBorder="1" applyFont="1" applyNumberFormat="1">
      <alignment horizontal="center" shrinkToFit="0" vertical="center" wrapText="1"/>
    </xf>
    <xf borderId="4" fillId="3" fontId="7"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4" fillId="0" fontId="8" numFmtId="164" xfId="0" applyAlignment="1" applyBorder="1" applyFont="1" applyNumberFormat="1">
      <alignment horizontal="center" shrinkToFit="0" vertical="center" wrapText="1"/>
    </xf>
    <xf borderId="4" fillId="12" fontId="10" numFmtId="164" xfId="0" applyAlignment="1" applyBorder="1" applyFont="1" applyNumberFormat="1">
      <alignment horizontal="center" shrinkToFit="0" vertical="center" wrapText="1"/>
    </xf>
    <xf borderId="4" fillId="14" fontId="8" numFmtId="170" xfId="0" applyAlignment="1" applyBorder="1" applyFont="1" applyNumberFormat="1">
      <alignment horizontal="center" shrinkToFit="0" vertical="center" wrapText="1"/>
    </xf>
    <xf borderId="4" fillId="4" fontId="7" numFmtId="3" xfId="0" applyAlignment="1" applyBorder="1" applyFont="1" applyNumberFormat="1">
      <alignment horizontal="center" shrinkToFit="0" vertical="center" wrapText="1"/>
    </xf>
    <xf borderId="4" fillId="0" fontId="12" numFmtId="164" xfId="0" applyAlignment="1" applyBorder="1" applyFont="1" applyNumberFormat="1">
      <alignment horizontal="center" shrinkToFit="0" vertical="center" wrapText="1"/>
    </xf>
    <xf borderId="4" fillId="0" fontId="13" numFmtId="172"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4" fillId="3" fontId="8" numFmtId="0" xfId="0" applyAlignment="1" applyBorder="1" applyFont="1">
      <alignment shrinkToFit="0" vertical="bottom" wrapText="0"/>
    </xf>
    <xf borderId="4" fillId="3" fontId="8" numFmtId="172" xfId="0" applyAlignment="1" applyBorder="1" applyFont="1" applyNumberFormat="1">
      <alignment horizontal="center" shrinkToFit="0" vertical="center" wrapText="1"/>
    </xf>
    <xf borderId="4" fillId="0" fontId="12" numFmtId="172" xfId="0" applyAlignment="1" applyBorder="1" applyFont="1" applyNumberFormat="1">
      <alignment horizontal="center" shrinkToFit="0" vertical="center" wrapText="1"/>
    </xf>
    <xf borderId="5" fillId="0" fontId="5" numFmtId="0" xfId="0" applyAlignment="1" applyBorder="1" applyFont="1">
      <alignment horizontal="left" shrinkToFit="0" vertical="center" wrapText="1"/>
    </xf>
    <xf borderId="4" fillId="12" fontId="8" numFmtId="164" xfId="0" applyAlignment="1" applyBorder="1" applyFont="1" applyNumberFormat="1">
      <alignment horizontal="center" shrinkToFit="0" vertical="center" wrapText="1"/>
    </xf>
    <xf borderId="4" fillId="14" fontId="8" numFmtId="164" xfId="0" applyAlignment="1" applyBorder="1" applyFont="1" applyNumberFormat="1">
      <alignment horizontal="center" shrinkToFit="0" vertical="center" wrapText="1"/>
    </xf>
    <xf borderId="4" fillId="0" fontId="8"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3" width="17.0"/>
    <col customWidth="1" min="4" max="4" width="54.0"/>
    <col customWidth="1" min="5" max="26" width="8.71"/>
  </cols>
  <sheetData>
    <row r="2" ht="27.75" customHeight="1">
      <c r="B2" s="2" t="s">
        <v>0</v>
      </c>
      <c r="C2" s="4"/>
      <c r="D2" s="5"/>
    </row>
    <row r="3" ht="18.75" customHeight="1">
      <c r="B3" s="6" t="s">
        <v>5</v>
      </c>
    </row>
    <row r="5">
      <c r="B5" s="7" t="s">
        <v>6</v>
      </c>
      <c r="C5" s="9"/>
      <c r="D5" s="9"/>
    </row>
    <row r="6">
      <c r="B6" s="11" t="s">
        <v>13</v>
      </c>
      <c r="C6" s="20">
        <f>DATOS!K37</f>
        <v>0.11</v>
      </c>
      <c r="D6" s="22" t="s">
        <v>27</v>
      </c>
    </row>
    <row r="7">
      <c r="B7" s="11" t="s">
        <v>28</v>
      </c>
      <c r="C7" s="25">
        <f>DATOS!E8</f>
        <v>10800</v>
      </c>
      <c r="D7" s="22" t="s">
        <v>45</v>
      </c>
    </row>
    <row r="8">
      <c r="B8" s="11" t="s">
        <v>46</v>
      </c>
      <c r="C8" s="25">
        <f>DATOS!E10</f>
        <v>2000</v>
      </c>
      <c r="D8" s="22" t="s">
        <v>48</v>
      </c>
    </row>
    <row r="9">
      <c r="B9" s="11" t="s">
        <v>49</v>
      </c>
      <c r="C9" s="25">
        <f>DATOS!E14</f>
        <v>-10000</v>
      </c>
      <c r="D9" s="22" t="s">
        <v>50</v>
      </c>
    </row>
    <row r="10">
      <c r="B10" s="11" t="s">
        <v>51</v>
      </c>
      <c r="C10" s="25">
        <f>DATOS!K21</f>
        <v>3900</v>
      </c>
      <c r="D10" s="22" t="s">
        <v>53</v>
      </c>
    </row>
    <row r="11">
      <c r="B11" s="11" t="s">
        <v>55</v>
      </c>
      <c r="C11" s="25">
        <f>DATOS!K31</f>
        <v>3000</v>
      </c>
      <c r="D11" s="22" t="s">
        <v>59</v>
      </c>
    </row>
    <row r="12">
      <c r="B12" s="11" t="s">
        <v>66</v>
      </c>
      <c r="C12" s="25">
        <f>DATOS!K39</f>
        <v>200</v>
      </c>
      <c r="D12" s="22" t="s">
        <v>73</v>
      </c>
    </row>
    <row r="14">
      <c r="B14" s="7" t="s">
        <v>75</v>
      </c>
      <c r="C14" s="9"/>
      <c r="D14" s="9"/>
    </row>
    <row r="15" ht="31.5" customHeight="1">
      <c r="B15" s="11" t="s">
        <v>77</v>
      </c>
      <c r="C15" s="34" t="s">
        <v>80</v>
      </c>
      <c r="D15" s="35" t="s">
        <v>84</v>
      </c>
    </row>
    <row r="16" ht="31.5" customHeight="1">
      <c r="B16" s="11" t="s">
        <v>87</v>
      </c>
      <c r="C16" s="36" t="s">
        <v>89</v>
      </c>
      <c r="D16" s="35" t="s">
        <v>93</v>
      </c>
    </row>
    <row r="17" ht="31.5" customHeight="1">
      <c r="B17" s="11" t="s">
        <v>94</v>
      </c>
      <c r="C17" s="36" t="s">
        <v>95</v>
      </c>
      <c r="D17" s="35" t="s">
        <v>96</v>
      </c>
    </row>
    <row r="18" ht="31.5" customHeight="1">
      <c r="B18" s="11" t="s">
        <v>97</v>
      </c>
      <c r="C18" s="39" t="s">
        <v>98</v>
      </c>
      <c r="D18" s="35" t="s">
        <v>100</v>
      </c>
    </row>
    <row r="19" ht="31.5" customHeight="1">
      <c r="B19" s="11" t="s">
        <v>102</v>
      </c>
      <c r="C19" s="39" t="s">
        <v>104</v>
      </c>
      <c r="D19" s="35" t="s">
        <v>105</v>
      </c>
    </row>
    <row r="20" ht="31.5" customHeight="1">
      <c r="B20" s="11" t="s">
        <v>106</v>
      </c>
      <c r="C20" s="36" t="s">
        <v>107</v>
      </c>
      <c r="D20" s="35" t="s">
        <v>108</v>
      </c>
    </row>
    <row r="21" ht="15.75" customHeight="1"/>
    <row r="22" ht="15.75" customHeight="1">
      <c r="B22" s="7" t="s">
        <v>109</v>
      </c>
      <c r="C22" s="9"/>
      <c r="D22" s="9"/>
    </row>
    <row r="23" ht="25.5" customHeight="1">
      <c r="B23" s="41" t="s">
        <v>112</v>
      </c>
      <c r="C23" s="42" t="s">
        <v>115</v>
      </c>
      <c r="D23" s="35" t="s">
        <v>117</v>
      </c>
    </row>
    <row r="24" ht="25.5" customHeight="1">
      <c r="B24" s="41" t="s">
        <v>118</v>
      </c>
      <c r="C24" s="42" t="s">
        <v>119</v>
      </c>
      <c r="D24" s="35" t="s">
        <v>120</v>
      </c>
    </row>
    <row r="25" ht="25.5" customHeight="1">
      <c r="B25" s="41" t="s">
        <v>123</v>
      </c>
      <c r="C25" s="42" t="s">
        <v>124</v>
      </c>
      <c r="D25" s="35" t="s">
        <v>126</v>
      </c>
    </row>
    <row r="26" ht="25.5" customHeight="1">
      <c r="B26" s="41" t="s">
        <v>127</v>
      </c>
      <c r="C26" s="42" t="s">
        <v>128</v>
      </c>
      <c r="D26" s="35" t="s">
        <v>129</v>
      </c>
    </row>
    <row r="27" ht="25.5" customHeight="1">
      <c r="B27" s="41" t="s">
        <v>131</v>
      </c>
      <c r="C27" s="42" t="s">
        <v>133</v>
      </c>
      <c r="D27" s="35" t="s">
        <v>134</v>
      </c>
    </row>
    <row r="28" ht="25.5" customHeight="1">
      <c r="B28" s="41" t="s">
        <v>135</v>
      </c>
      <c r="C28" s="42" t="s">
        <v>136</v>
      </c>
      <c r="D28" s="35" t="s">
        <v>137</v>
      </c>
    </row>
    <row r="29" ht="25.5" customHeight="1">
      <c r="B29" s="41" t="s">
        <v>139</v>
      </c>
      <c r="C29" s="42" t="s">
        <v>140</v>
      </c>
      <c r="D29" s="35" t="s">
        <v>141</v>
      </c>
    </row>
    <row r="30" ht="25.5" customHeight="1">
      <c r="B30" s="41" t="s">
        <v>142</v>
      </c>
      <c r="C30" s="42" t="s">
        <v>143</v>
      </c>
      <c r="D30" s="35" t="s">
        <v>144</v>
      </c>
    </row>
    <row r="31" ht="15.75" customHeight="1"/>
    <row r="32" ht="18.75" customHeight="1">
      <c r="B32" s="45" t="s">
        <v>146</v>
      </c>
    </row>
    <row r="33" ht="18.75" customHeight="1">
      <c r="B33" s="46" t="s">
        <v>150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3:D3"/>
    <mergeCell ref="B32:D32"/>
    <mergeCell ref="B33:D3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4.0"/>
    <col customWidth="1" min="3" max="11" width="11.0"/>
    <col customWidth="1" min="12" max="12" width="48.0"/>
    <col customWidth="1" min="13" max="26" width="8.71"/>
  </cols>
  <sheetData>
    <row r="1">
      <c r="A1" s="1"/>
      <c r="B1" s="1"/>
      <c r="C1" s="1"/>
      <c r="D1" s="1"/>
      <c r="E1" s="1"/>
      <c r="F1" s="1"/>
      <c r="G1" s="1"/>
      <c r="H1" s="1"/>
      <c r="I1" s="1"/>
      <c r="J1" s="1"/>
      <c r="K1" s="1"/>
      <c r="L1" s="1"/>
    </row>
    <row r="2" ht="24.0" customHeight="1">
      <c r="A2" s="1"/>
      <c r="B2" s="3" t="s">
        <v>1</v>
      </c>
      <c r="C2" s="4"/>
      <c r="D2" s="4"/>
      <c r="E2" s="4"/>
      <c r="F2" s="4"/>
      <c r="G2" s="4"/>
      <c r="H2" s="4"/>
      <c r="I2" s="4"/>
      <c r="J2" s="4"/>
      <c r="K2" s="4"/>
      <c r="L2" s="5"/>
    </row>
    <row r="3" ht="27.75" customHeight="1">
      <c r="A3" s="1"/>
      <c r="B3" s="6" t="s">
        <v>9</v>
      </c>
    </row>
    <row r="4">
      <c r="A4" s="1"/>
      <c r="B4" s="1"/>
      <c r="C4" s="1"/>
      <c r="D4" s="1"/>
      <c r="E4" s="1"/>
      <c r="F4" s="1"/>
      <c r="G4" s="1"/>
      <c r="H4" s="1"/>
      <c r="I4" s="1"/>
      <c r="J4" s="1"/>
      <c r="K4" s="1"/>
      <c r="L4" s="1"/>
    </row>
    <row r="5" ht="15.0" customHeight="1">
      <c r="A5" s="1"/>
      <c r="B5" s="1"/>
      <c r="C5" s="15" t="s">
        <v>16</v>
      </c>
      <c r="D5" s="14"/>
      <c r="E5" s="16"/>
      <c r="F5" s="17" t="s">
        <v>19</v>
      </c>
      <c r="G5" s="16"/>
      <c r="H5" s="19" t="s">
        <v>20</v>
      </c>
      <c r="I5" s="16"/>
      <c r="J5" s="17" t="s">
        <v>22</v>
      </c>
      <c r="K5" s="16"/>
      <c r="L5" s="1"/>
    </row>
    <row r="6" ht="15.0" customHeight="1">
      <c r="A6" s="1"/>
      <c r="B6" s="23" t="s">
        <v>21</v>
      </c>
      <c r="C6" s="10" t="s">
        <v>29</v>
      </c>
      <c r="D6" s="10" t="s">
        <v>31</v>
      </c>
      <c r="E6" s="10" t="s">
        <v>32</v>
      </c>
      <c r="F6" s="10" t="s">
        <v>34</v>
      </c>
      <c r="G6" s="10" t="s">
        <v>36</v>
      </c>
      <c r="H6" s="10" t="s">
        <v>38</v>
      </c>
      <c r="I6" s="10" t="s">
        <v>39</v>
      </c>
      <c r="J6" s="10" t="s">
        <v>10</v>
      </c>
      <c r="K6" s="10" t="s">
        <v>41</v>
      </c>
      <c r="L6" s="8" t="s">
        <v>43</v>
      </c>
    </row>
    <row r="7" ht="15.0" customHeight="1">
      <c r="A7" s="1"/>
      <c r="B7" s="26" t="s">
        <v>44</v>
      </c>
      <c r="C7" s="28"/>
      <c r="D7" s="28"/>
      <c r="E7" s="28"/>
      <c r="F7" s="28"/>
      <c r="G7" s="28"/>
      <c r="H7" s="28"/>
      <c r="I7" s="28"/>
      <c r="J7" s="28"/>
      <c r="K7" s="28"/>
      <c r="L7" s="28"/>
    </row>
    <row r="8" ht="15.0" customHeight="1">
      <c r="A8" s="1"/>
      <c r="B8" s="11" t="s">
        <v>42</v>
      </c>
      <c r="C8" s="30">
        <v>12230.0</v>
      </c>
      <c r="D8" s="30">
        <v>17780.0</v>
      </c>
      <c r="E8" s="30">
        <v>10800.0</v>
      </c>
      <c r="F8" s="31">
        <v>5010.0</v>
      </c>
      <c r="G8" s="31">
        <v>2780.0</v>
      </c>
      <c r="H8" s="31">
        <v>1100.0</v>
      </c>
      <c r="I8" s="31">
        <v>1120.0</v>
      </c>
      <c r="J8" s="32"/>
      <c r="K8" s="32"/>
      <c r="L8" s="22" t="s">
        <v>54</v>
      </c>
    </row>
    <row r="9" ht="15.0" customHeight="1">
      <c r="A9" s="1"/>
      <c r="B9" s="24" t="s">
        <v>56</v>
      </c>
      <c r="C9" s="33"/>
      <c r="D9" s="33"/>
      <c r="E9" s="33"/>
      <c r="F9" s="32"/>
      <c r="G9" s="32"/>
      <c r="H9" s="32"/>
      <c r="I9" s="32"/>
      <c r="J9" s="32"/>
      <c r="K9" s="32"/>
      <c r="L9" s="22" t="s">
        <v>60</v>
      </c>
    </row>
    <row r="10" ht="15.0" customHeight="1">
      <c r="A10" s="1"/>
      <c r="B10" s="24" t="s">
        <v>61</v>
      </c>
      <c r="C10" s="33"/>
      <c r="D10" s="33"/>
      <c r="E10" s="30">
        <v>2000.0</v>
      </c>
      <c r="F10" s="32"/>
      <c r="G10" s="32"/>
      <c r="H10" s="32"/>
      <c r="I10" s="32"/>
      <c r="J10" s="32"/>
      <c r="K10" s="32"/>
      <c r="L10" s="22" t="s">
        <v>64</v>
      </c>
    </row>
    <row r="11" ht="15.0" customHeight="1">
      <c r="A11" s="1"/>
      <c r="B11" s="24" t="s">
        <v>65</v>
      </c>
      <c r="C11" s="30">
        <v>6080.0</v>
      </c>
      <c r="D11" s="30">
        <v>9930.0</v>
      </c>
      <c r="E11" s="30">
        <v>5780.0</v>
      </c>
      <c r="F11" s="32"/>
      <c r="G11" s="32"/>
      <c r="H11" s="32"/>
      <c r="I11" s="32"/>
      <c r="J11" s="32"/>
      <c r="K11" s="32"/>
      <c r="L11" s="22" t="s">
        <v>67</v>
      </c>
    </row>
    <row r="12" ht="15.0" customHeight="1">
      <c r="A12" s="1"/>
      <c r="B12" s="11" t="s">
        <v>68</v>
      </c>
      <c r="C12" s="30">
        <v>6150.0</v>
      </c>
      <c r="D12" s="30">
        <v>7850.0</v>
      </c>
      <c r="E12" s="30">
        <v>5020.0</v>
      </c>
      <c r="F12" s="32"/>
      <c r="G12" s="32"/>
      <c r="H12" s="32"/>
      <c r="I12" s="32"/>
      <c r="J12" s="32"/>
      <c r="K12" s="32"/>
      <c r="L12" s="22" t="s">
        <v>70</v>
      </c>
    </row>
    <row r="13" ht="15.0" customHeight="1">
      <c r="A13" s="1"/>
      <c r="B13" s="24" t="s">
        <v>71</v>
      </c>
      <c r="C13" s="30">
        <v>10340.0</v>
      </c>
      <c r="D13" s="30">
        <v>12180.0</v>
      </c>
      <c r="E13" s="33"/>
      <c r="F13" s="32"/>
      <c r="G13" s="32"/>
      <c r="H13" s="32"/>
      <c r="I13" s="32"/>
      <c r="J13" s="32"/>
      <c r="K13" s="32"/>
      <c r="L13" s="22" t="s">
        <v>74</v>
      </c>
    </row>
    <row r="14" ht="15.0" customHeight="1">
      <c r="A14" s="1"/>
      <c r="B14" s="11" t="s">
        <v>76</v>
      </c>
      <c r="C14" s="30">
        <v>-4190.0</v>
      </c>
      <c r="D14" s="30">
        <v>-4330.0</v>
      </c>
      <c r="E14" s="30">
        <v>-10000.0</v>
      </c>
      <c r="F14" s="32"/>
      <c r="G14" s="32"/>
      <c r="H14" s="32"/>
      <c r="I14" s="32"/>
      <c r="J14" s="32"/>
      <c r="K14" s="32"/>
      <c r="L14" s="22" t="s">
        <v>78</v>
      </c>
    </row>
    <row r="15" ht="15.0" customHeight="1">
      <c r="A15" s="1"/>
      <c r="B15" s="24" t="s">
        <v>79</v>
      </c>
      <c r="C15" s="30">
        <v>-68.0</v>
      </c>
      <c r="D15" s="30">
        <v>1930.0</v>
      </c>
      <c r="E15" s="33"/>
      <c r="F15" s="32"/>
      <c r="G15" s="32"/>
      <c r="H15" s="32"/>
      <c r="I15" s="32"/>
      <c r="J15" s="32"/>
      <c r="K15" s="32"/>
      <c r="L15" s="22" t="s">
        <v>81</v>
      </c>
    </row>
    <row r="16" ht="15.0" customHeight="1">
      <c r="A16" s="1"/>
      <c r="B16" s="11" t="s">
        <v>83</v>
      </c>
      <c r="C16" s="30">
        <v>-3500.0</v>
      </c>
      <c r="D16" s="30">
        <v>-4347.0</v>
      </c>
      <c r="E16" s="30">
        <v>-15200.0</v>
      </c>
      <c r="F16" s="31">
        <v>-1190.0</v>
      </c>
      <c r="G16" s="32"/>
      <c r="H16" s="31">
        <v>-6480.0</v>
      </c>
      <c r="I16" s="31">
        <v>-1000.0</v>
      </c>
      <c r="J16" s="32"/>
      <c r="K16" s="32"/>
      <c r="L16" s="22" t="s">
        <v>85</v>
      </c>
    </row>
    <row r="17" ht="15.0" customHeight="1">
      <c r="A17" s="1"/>
      <c r="B17" s="24" t="s">
        <v>86</v>
      </c>
      <c r="C17" s="33"/>
      <c r="D17" s="30">
        <v>-3490.0</v>
      </c>
      <c r="E17" s="33"/>
      <c r="F17" s="32"/>
      <c r="G17" s="32"/>
      <c r="H17" s="32"/>
      <c r="I17" s="32"/>
      <c r="J17" s="32"/>
      <c r="K17" s="32"/>
      <c r="L17" s="22" t="s">
        <v>91</v>
      </c>
    </row>
    <row r="18" ht="15.0" customHeight="1">
      <c r="A18" s="1"/>
      <c r="B18" s="24" t="s">
        <v>92</v>
      </c>
      <c r="C18" s="33"/>
      <c r="D18" s="37">
        <v>-0.006</v>
      </c>
      <c r="E18" s="37">
        <v>-0.038</v>
      </c>
      <c r="F18" s="38">
        <v>-0.001</v>
      </c>
      <c r="G18" s="38">
        <v>0.0</v>
      </c>
      <c r="H18" s="38">
        <v>-0.02</v>
      </c>
      <c r="I18" s="38">
        <v>-0.01</v>
      </c>
      <c r="J18" s="1"/>
      <c r="K18" s="1"/>
      <c r="L18" s="22" t="s">
        <v>101</v>
      </c>
    </row>
    <row r="19" ht="15.0" customHeight="1">
      <c r="A19" s="1"/>
      <c r="B19" s="24" t="s">
        <v>103</v>
      </c>
      <c r="C19" s="33"/>
      <c r="D19" s="33"/>
      <c r="E19" s="33"/>
      <c r="F19" s="32"/>
      <c r="G19" s="32"/>
      <c r="H19" s="32"/>
      <c r="I19" s="32"/>
      <c r="J19" s="40">
        <v>320.0</v>
      </c>
      <c r="K19" s="40">
        <v>380.0</v>
      </c>
      <c r="L19" s="22" t="s">
        <v>111</v>
      </c>
    </row>
    <row r="20" ht="15.0" customHeight="1">
      <c r="A20" s="1"/>
      <c r="B20" s="26" t="s">
        <v>113</v>
      </c>
      <c r="C20" s="28"/>
      <c r="D20" s="28"/>
      <c r="E20" s="28"/>
      <c r="F20" s="28"/>
      <c r="G20" s="28"/>
      <c r="H20" s="28"/>
      <c r="I20" s="28"/>
      <c r="J20" s="28"/>
      <c r="K20" s="28"/>
      <c r="L20" s="28"/>
    </row>
    <row r="21" ht="15.0" customHeight="1">
      <c r="A21" s="1"/>
      <c r="B21" s="24" t="s">
        <v>17</v>
      </c>
      <c r="C21" s="33"/>
      <c r="D21" s="33"/>
      <c r="E21" s="33"/>
      <c r="F21" s="32"/>
      <c r="G21" s="32"/>
      <c r="H21" s="32"/>
      <c r="I21" s="32"/>
      <c r="J21" s="31">
        <v>3548.0</v>
      </c>
      <c r="K21" s="31">
        <v>3900.0</v>
      </c>
      <c r="L21" s="22" t="s">
        <v>122</v>
      </c>
    </row>
    <row r="22" ht="15.0" customHeight="1">
      <c r="A22" s="1"/>
      <c r="B22" s="24" t="s">
        <v>125</v>
      </c>
      <c r="C22" s="33"/>
      <c r="D22" s="33"/>
      <c r="E22" s="33"/>
      <c r="F22" s="32"/>
      <c r="G22" s="32"/>
      <c r="H22" s="32"/>
      <c r="I22" s="32"/>
      <c r="J22" s="31">
        <v>1200.0</v>
      </c>
      <c r="K22" s="31">
        <v>900.0</v>
      </c>
      <c r="L22" s="22" t="s">
        <v>130</v>
      </c>
    </row>
    <row r="23" ht="15.0" customHeight="1">
      <c r="A23" s="1"/>
      <c r="B23" s="24" t="s">
        <v>132</v>
      </c>
      <c r="C23" s="33"/>
      <c r="D23" s="33"/>
      <c r="E23" s="33"/>
      <c r="F23" s="32"/>
      <c r="G23" s="32"/>
      <c r="H23" s="32"/>
      <c r="I23" s="32"/>
      <c r="J23" s="31">
        <v>330.0</v>
      </c>
      <c r="K23" s="31">
        <v>400.0</v>
      </c>
      <c r="L23" s="22" t="s">
        <v>138</v>
      </c>
    </row>
    <row r="24" ht="15.0" customHeight="1">
      <c r="A24" s="1"/>
      <c r="B24" s="24" t="s">
        <v>52</v>
      </c>
      <c r="C24" s="33"/>
      <c r="D24" s="33"/>
      <c r="E24" s="33"/>
      <c r="F24" s="32"/>
      <c r="G24" s="32"/>
      <c r="H24" s="32"/>
      <c r="I24" s="32"/>
      <c r="J24" s="31">
        <v>8037.0</v>
      </c>
      <c r="K24" s="31">
        <v>5500.0</v>
      </c>
      <c r="L24" s="22" t="s">
        <v>145</v>
      </c>
    </row>
    <row r="25" ht="15.0" customHeight="1">
      <c r="A25" s="1"/>
      <c r="B25" s="24" t="s">
        <v>57</v>
      </c>
      <c r="C25" s="33"/>
      <c r="D25" s="33"/>
      <c r="E25" s="33"/>
      <c r="F25" s="32"/>
      <c r="G25" s="32"/>
      <c r="H25" s="32"/>
      <c r="I25" s="32"/>
      <c r="J25" s="31">
        <v>2476.0</v>
      </c>
      <c r="K25" s="31">
        <v>2500.0</v>
      </c>
      <c r="L25" s="22" t="s">
        <v>148</v>
      </c>
    </row>
    <row r="26" ht="15.0" customHeight="1">
      <c r="A26" s="1"/>
      <c r="B26" s="11" t="s">
        <v>63</v>
      </c>
      <c r="C26" s="33"/>
      <c r="D26" s="33"/>
      <c r="E26" s="33"/>
      <c r="F26" s="32"/>
      <c r="G26" s="32"/>
      <c r="H26" s="32"/>
      <c r="I26" s="32"/>
      <c r="J26" s="31">
        <v>10513.0</v>
      </c>
      <c r="K26" s="31">
        <v>8000.0</v>
      </c>
      <c r="L26" s="22" t="s">
        <v>151</v>
      </c>
    </row>
    <row r="27" ht="15.0" customHeight="1">
      <c r="A27" s="1"/>
      <c r="B27" s="24" t="s">
        <v>152</v>
      </c>
      <c r="C27" s="33"/>
      <c r="D27" s="33"/>
      <c r="E27" s="33"/>
      <c r="F27" s="32"/>
      <c r="G27" s="32"/>
      <c r="H27" s="32"/>
      <c r="I27" s="32"/>
      <c r="J27" s="31">
        <v>3200.0</v>
      </c>
      <c r="K27" s="31">
        <v>3500.0</v>
      </c>
      <c r="L27" s="22" t="s">
        <v>153</v>
      </c>
    </row>
    <row r="28" ht="15.0" customHeight="1">
      <c r="A28" s="1"/>
      <c r="B28" s="24" t="s">
        <v>82</v>
      </c>
      <c r="C28" s="33"/>
      <c r="D28" s="33"/>
      <c r="E28" s="33"/>
      <c r="F28" s="32"/>
      <c r="G28" s="32"/>
      <c r="H28" s="32"/>
      <c r="I28" s="32"/>
      <c r="J28" s="31">
        <v>1257.0</v>
      </c>
      <c r="K28" s="31">
        <v>2500.0</v>
      </c>
      <c r="L28" s="22" t="s">
        <v>154</v>
      </c>
    </row>
    <row r="29" ht="15.0" customHeight="1">
      <c r="A29" s="1"/>
      <c r="B29" s="11" t="s">
        <v>90</v>
      </c>
      <c r="C29" s="33"/>
      <c r="D29" s="33"/>
      <c r="E29" s="33"/>
      <c r="F29" s="32"/>
      <c r="G29" s="32"/>
      <c r="H29" s="32"/>
      <c r="I29" s="32"/>
      <c r="J29" s="31">
        <v>4457.0</v>
      </c>
      <c r="K29" s="31">
        <v>5000.0</v>
      </c>
      <c r="L29" s="22" t="s">
        <v>156</v>
      </c>
    </row>
    <row r="30" ht="15.0" customHeight="1">
      <c r="A30" s="1"/>
      <c r="B30" s="24" t="s">
        <v>158</v>
      </c>
      <c r="C30" s="33"/>
      <c r="D30" s="33"/>
      <c r="E30" s="33"/>
      <c r="F30" s="32"/>
      <c r="G30" s="32"/>
      <c r="H30" s="32"/>
      <c r="I30" s="32"/>
      <c r="J30" s="31">
        <v>0.0</v>
      </c>
      <c r="K30" s="31">
        <v>0.0</v>
      </c>
      <c r="L30" s="22" t="s">
        <v>159</v>
      </c>
    </row>
    <row r="31" ht="15.0" customHeight="1">
      <c r="A31" s="1"/>
      <c r="B31" s="11" t="s">
        <v>99</v>
      </c>
      <c r="C31" s="33"/>
      <c r="D31" s="33"/>
      <c r="E31" s="33"/>
      <c r="F31" s="32"/>
      <c r="G31" s="32"/>
      <c r="H31" s="32"/>
      <c r="I31" s="32"/>
      <c r="J31" s="31">
        <v>6056.0</v>
      </c>
      <c r="K31" s="31">
        <v>3000.0</v>
      </c>
      <c r="L31" s="22" t="s">
        <v>160</v>
      </c>
    </row>
    <row r="32" ht="15.0" customHeight="1">
      <c r="A32" s="1"/>
      <c r="B32" s="24" t="s">
        <v>161</v>
      </c>
      <c r="C32" s="33"/>
      <c r="D32" s="33"/>
      <c r="E32" s="33"/>
      <c r="F32" s="32"/>
      <c r="G32" s="32"/>
      <c r="H32" s="32"/>
      <c r="I32" s="32"/>
      <c r="J32" s="31">
        <v>1257.0</v>
      </c>
      <c r="K32" s="31">
        <v>2500.0</v>
      </c>
      <c r="L32" s="22" t="s">
        <v>162</v>
      </c>
    </row>
    <row r="33" ht="15.0" customHeight="1">
      <c r="A33" s="1"/>
      <c r="B33" s="26" t="s">
        <v>163</v>
      </c>
      <c r="C33" s="28"/>
      <c r="D33" s="28"/>
      <c r="E33" s="28"/>
      <c r="F33" s="28"/>
      <c r="G33" s="28"/>
      <c r="H33" s="28"/>
      <c r="I33" s="28"/>
      <c r="J33" s="28"/>
      <c r="K33" s="28"/>
      <c r="L33" s="28"/>
    </row>
    <row r="34" ht="15.0" customHeight="1">
      <c r="A34" s="1"/>
      <c r="B34" s="24" t="s">
        <v>166</v>
      </c>
      <c r="C34" s="33"/>
      <c r="D34" s="30">
        <v>-3000.0</v>
      </c>
      <c r="E34" s="30">
        <v>-5000.0</v>
      </c>
      <c r="F34" s="32"/>
      <c r="G34" s="32"/>
      <c r="H34" s="32"/>
      <c r="I34" s="32"/>
      <c r="J34" s="32"/>
      <c r="K34" s="32"/>
      <c r="L34" s="22" t="s">
        <v>167</v>
      </c>
    </row>
    <row r="35" ht="15.0" customHeight="1">
      <c r="A35" s="1"/>
      <c r="B35" s="24" t="s">
        <v>168</v>
      </c>
      <c r="C35" s="33"/>
      <c r="D35" s="30">
        <v>-200.0</v>
      </c>
      <c r="E35" s="30">
        <v>-300.0</v>
      </c>
      <c r="F35" s="32"/>
      <c r="G35" s="32"/>
      <c r="H35" s="32"/>
      <c r="I35" s="32"/>
      <c r="J35" s="32"/>
      <c r="K35" s="32"/>
      <c r="L35" s="22" t="s">
        <v>169</v>
      </c>
    </row>
    <row r="36" ht="15.0" customHeight="1">
      <c r="A36" s="1"/>
      <c r="B36" s="26" t="s">
        <v>170</v>
      </c>
      <c r="C36" s="28"/>
      <c r="D36" s="28"/>
      <c r="E36" s="28"/>
      <c r="F36" s="28"/>
      <c r="G36" s="28"/>
      <c r="H36" s="28"/>
      <c r="I36" s="28"/>
      <c r="J36" s="28"/>
      <c r="K36" s="28"/>
      <c r="L36" s="28"/>
    </row>
    <row r="37" ht="15.0" customHeight="1">
      <c r="A37" s="1"/>
      <c r="B37" s="24" t="s">
        <v>172</v>
      </c>
      <c r="C37" s="33"/>
      <c r="D37" s="33"/>
      <c r="E37" s="33"/>
      <c r="F37" s="32"/>
      <c r="G37" s="32"/>
      <c r="H37" s="32"/>
      <c r="I37" s="32"/>
      <c r="J37" s="32"/>
      <c r="K37" s="38">
        <v>0.11</v>
      </c>
      <c r="L37" s="22" t="s">
        <v>174</v>
      </c>
    </row>
    <row r="38" ht="15.0" customHeight="1">
      <c r="A38" s="1"/>
      <c r="B38" s="24" t="s">
        <v>175</v>
      </c>
      <c r="C38" s="33"/>
      <c r="D38" s="33"/>
      <c r="E38" s="33"/>
      <c r="F38" s="32"/>
      <c r="G38" s="32"/>
      <c r="H38" s="32"/>
      <c r="I38" s="32"/>
      <c r="J38" s="32"/>
      <c r="K38" s="48">
        <v>42.0</v>
      </c>
      <c r="L38" s="22" t="s">
        <v>176</v>
      </c>
    </row>
    <row r="39" ht="15.0" customHeight="1">
      <c r="A39" s="1"/>
      <c r="B39" s="24" t="s">
        <v>177</v>
      </c>
      <c r="C39" s="33"/>
      <c r="D39" s="33"/>
      <c r="E39" s="33"/>
      <c r="F39" s="32"/>
      <c r="G39" s="32"/>
      <c r="H39" s="32"/>
      <c r="I39" s="32"/>
      <c r="J39" s="32"/>
      <c r="K39" s="48">
        <v>200.0</v>
      </c>
      <c r="L39" s="22" t="s">
        <v>178</v>
      </c>
    </row>
    <row r="40" ht="23.25" customHeight="1">
      <c r="A40" s="1"/>
      <c r="B40" s="26" t="s">
        <v>179</v>
      </c>
      <c r="C40" s="28"/>
      <c r="D40" s="28"/>
      <c r="E40" s="28"/>
      <c r="F40" s="28"/>
      <c r="G40" s="28"/>
      <c r="H40" s="28"/>
      <c r="I40" s="28"/>
      <c r="J40" s="28"/>
      <c r="K40" s="28"/>
      <c r="L40" s="28"/>
    </row>
    <row r="41" ht="15.0" customHeight="1">
      <c r="A41" s="1"/>
      <c r="B41" s="24" t="s">
        <v>180</v>
      </c>
      <c r="C41" s="33"/>
      <c r="D41" s="33"/>
      <c r="E41" s="33"/>
      <c r="F41" s="32"/>
      <c r="G41" s="32"/>
      <c r="H41" s="32"/>
      <c r="I41" s="32"/>
      <c r="J41" s="32"/>
      <c r="K41" s="48">
        <v>25.0</v>
      </c>
      <c r="L41" s="22" t="s">
        <v>181</v>
      </c>
    </row>
    <row r="42" ht="15.0" customHeight="1">
      <c r="A42" s="1"/>
      <c r="B42" s="24" t="s">
        <v>182</v>
      </c>
      <c r="C42" s="33"/>
      <c r="D42" s="33"/>
      <c r="E42" s="33"/>
      <c r="F42" s="32"/>
      <c r="G42" s="32"/>
      <c r="H42" s="32"/>
      <c r="I42" s="32"/>
      <c r="J42" s="32"/>
      <c r="K42" s="48">
        <v>20.0</v>
      </c>
      <c r="L42" s="22" t="s">
        <v>184</v>
      </c>
    </row>
    <row r="43" ht="15.0" customHeight="1">
      <c r="A43" s="1"/>
      <c r="B43" s="24" t="s">
        <v>185</v>
      </c>
      <c r="C43" s="33"/>
      <c r="D43" s="33"/>
      <c r="E43" s="33"/>
      <c r="F43" s="32"/>
      <c r="G43" s="32"/>
      <c r="H43" s="32"/>
      <c r="I43" s="32"/>
      <c r="J43" s="32"/>
      <c r="K43" s="48">
        <v>15.0</v>
      </c>
      <c r="L43" s="22" t="s">
        <v>186</v>
      </c>
    </row>
    <row r="44" ht="15.0" customHeight="1">
      <c r="A44" s="1"/>
      <c r="B44" s="24" t="s">
        <v>187</v>
      </c>
      <c r="C44" s="33"/>
      <c r="D44" s="33"/>
      <c r="E44" s="33"/>
      <c r="F44" s="32"/>
      <c r="G44" s="32"/>
      <c r="H44" s="32"/>
      <c r="I44" s="32"/>
      <c r="J44" s="32"/>
      <c r="K44" s="48">
        <v>8.0</v>
      </c>
      <c r="L44" s="22" t="s">
        <v>188</v>
      </c>
    </row>
    <row r="45" ht="15.0" customHeight="1">
      <c r="A45" s="1"/>
      <c r="B45" s="26" t="s">
        <v>189</v>
      </c>
      <c r="C45" s="28"/>
      <c r="D45" s="28"/>
      <c r="E45" s="28"/>
      <c r="F45" s="28"/>
      <c r="G45" s="28"/>
      <c r="H45" s="28"/>
      <c r="I45" s="28"/>
      <c r="J45" s="28"/>
      <c r="K45" s="28"/>
      <c r="L45" s="28"/>
    </row>
    <row r="46" ht="15.0" customHeight="1">
      <c r="A46" s="1"/>
      <c r="B46" s="24" t="s">
        <v>190</v>
      </c>
      <c r="C46" s="33"/>
      <c r="D46" s="33"/>
      <c r="E46" s="33"/>
      <c r="F46" s="32"/>
      <c r="G46" s="32"/>
      <c r="H46" s="32"/>
      <c r="I46" s="32"/>
      <c r="J46" s="32"/>
      <c r="K46" s="49">
        <v>0.043</v>
      </c>
      <c r="L46" s="22" t="s">
        <v>191</v>
      </c>
    </row>
    <row r="47" ht="15.0" customHeight="1">
      <c r="A47" s="1"/>
      <c r="B47" s="24" t="s">
        <v>192</v>
      </c>
      <c r="C47" s="33"/>
      <c r="D47" s="33"/>
      <c r="E47" s="33"/>
      <c r="F47" s="32"/>
      <c r="G47" s="32"/>
      <c r="H47" s="32"/>
      <c r="I47" s="32"/>
      <c r="J47" s="32"/>
      <c r="K47" s="49">
        <v>0.055</v>
      </c>
      <c r="L47" s="22" t="s">
        <v>193</v>
      </c>
    </row>
    <row r="48" ht="15.0" customHeight="1">
      <c r="A48" s="1"/>
      <c r="B48" s="24" t="s">
        <v>194</v>
      </c>
      <c r="C48" s="33"/>
      <c r="D48" s="33"/>
      <c r="E48" s="33"/>
      <c r="F48" s="32"/>
      <c r="G48" s="32"/>
      <c r="H48" s="32"/>
      <c r="I48" s="32"/>
      <c r="J48" s="32"/>
      <c r="K48" s="50">
        <v>1.8</v>
      </c>
      <c r="L48" s="22" t="s">
        <v>195</v>
      </c>
    </row>
    <row r="49" ht="15.0" customHeight="1">
      <c r="A49" s="1"/>
      <c r="B49" s="24" t="s">
        <v>196</v>
      </c>
      <c r="C49" s="33"/>
      <c r="D49" s="33"/>
      <c r="E49" s="33"/>
      <c r="F49" s="32"/>
      <c r="G49" s="32"/>
      <c r="H49" s="32"/>
      <c r="I49" s="32"/>
      <c r="J49" s="32"/>
      <c r="K49" s="49">
        <v>0.21</v>
      </c>
      <c r="L49" s="22" t="s">
        <v>197</v>
      </c>
    </row>
    <row r="50" ht="15.0" customHeight="1">
      <c r="A50" s="1"/>
      <c r="B50" s="24" t="s">
        <v>198</v>
      </c>
      <c r="C50" s="33"/>
      <c r="D50" s="33"/>
      <c r="E50" s="33"/>
      <c r="F50" s="32"/>
      <c r="G50" s="32"/>
      <c r="H50" s="32"/>
      <c r="I50" s="32"/>
      <c r="J50" s="32"/>
      <c r="K50" s="49">
        <v>0.1</v>
      </c>
      <c r="L50" s="22" t="s">
        <v>200</v>
      </c>
    </row>
    <row r="51" ht="15.0" customHeight="1">
      <c r="A51" s="1"/>
      <c r="B51" s="24" t="s">
        <v>201</v>
      </c>
      <c r="C51" s="33"/>
      <c r="D51" s="33"/>
      <c r="E51" s="33"/>
      <c r="F51" s="32"/>
      <c r="G51" s="32"/>
      <c r="H51" s="32"/>
      <c r="I51" s="32"/>
      <c r="J51" s="32"/>
      <c r="K51" s="49">
        <v>0.15</v>
      </c>
      <c r="L51" s="22" t="s">
        <v>202</v>
      </c>
    </row>
    <row r="52" ht="15.75" customHeight="1">
      <c r="A52" s="1"/>
      <c r="B52" s="1"/>
      <c r="C52" s="1"/>
      <c r="D52" s="1"/>
      <c r="E52" s="1"/>
      <c r="F52" s="1"/>
      <c r="G52" s="1"/>
      <c r="H52" s="1"/>
      <c r="I52" s="1"/>
      <c r="J52" s="1"/>
      <c r="K52" s="1"/>
      <c r="L52" s="1"/>
    </row>
    <row r="53" ht="15.0" customHeight="1">
      <c r="A53" s="1"/>
      <c r="B53" s="52" t="s">
        <v>203</v>
      </c>
    </row>
    <row r="54" ht="15.0" customHeight="1">
      <c r="A54" s="1"/>
      <c r="B54" s="52" t="s">
        <v>204</v>
      </c>
    </row>
    <row r="55" ht="15.0" customHeight="1">
      <c r="A55" s="1"/>
      <c r="B55" s="52" t="s">
        <v>205</v>
      </c>
    </row>
    <row r="56" ht="15.0" customHeight="1">
      <c r="A56" s="1"/>
      <c r="B56" s="52" t="s">
        <v>206</v>
      </c>
    </row>
    <row r="57" ht="15.0" customHeight="1">
      <c r="A57" s="1"/>
      <c r="B57" s="52" t="s">
        <v>207</v>
      </c>
    </row>
    <row r="58" ht="15.0" customHeight="1">
      <c r="A58" s="1"/>
      <c r="B58" s="52" t="s">
        <v>208</v>
      </c>
    </row>
    <row r="59" ht="15.0" customHeight="1">
      <c r="A59" s="1"/>
      <c r="B59" s="52" t="s">
        <v>209</v>
      </c>
    </row>
    <row r="60" ht="15.75" customHeight="1">
      <c r="A60" s="1"/>
      <c r="B60" s="1"/>
      <c r="C60" s="1"/>
      <c r="D60" s="1"/>
      <c r="E60" s="1"/>
      <c r="F60" s="1"/>
      <c r="G60" s="1"/>
      <c r="H60" s="1"/>
      <c r="I60" s="1"/>
      <c r="J60" s="1"/>
      <c r="K60" s="1"/>
      <c r="L60" s="1"/>
    </row>
    <row r="61" ht="23.25" customHeight="1">
      <c r="A61" s="1"/>
      <c r="B61" s="26" t="s">
        <v>210</v>
      </c>
      <c r="C61" s="28"/>
      <c r="D61" s="28"/>
      <c r="E61" s="28"/>
      <c r="F61" s="28"/>
      <c r="G61" s="28"/>
      <c r="H61" s="28"/>
      <c r="I61" s="28"/>
      <c r="J61" s="28"/>
      <c r="K61" s="28"/>
      <c r="L61" s="28"/>
    </row>
    <row r="62" ht="15.0" customHeight="1">
      <c r="A62" s="1"/>
      <c r="B62" s="24" t="s">
        <v>211</v>
      </c>
      <c r="C62" s="1"/>
      <c r="D62" s="1"/>
      <c r="E62" s="1"/>
      <c r="F62" s="1"/>
      <c r="G62" s="1"/>
      <c r="H62" s="1"/>
      <c r="I62" s="1"/>
      <c r="J62" s="1"/>
      <c r="K62" s="53">
        <v>5000.0</v>
      </c>
      <c r="L62" s="22" t="s">
        <v>212</v>
      </c>
    </row>
    <row r="63" ht="15.0" customHeight="1">
      <c r="A63" s="1"/>
      <c r="B63" s="24" t="s">
        <v>213</v>
      </c>
      <c r="C63" s="1"/>
      <c r="D63" s="1"/>
      <c r="E63" s="1"/>
      <c r="F63" s="1"/>
      <c r="G63" s="1"/>
      <c r="H63" s="1"/>
      <c r="I63" s="1"/>
      <c r="J63" s="1"/>
      <c r="K63" s="54">
        <v>0.4</v>
      </c>
      <c r="L63" s="22" t="s">
        <v>214</v>
      </c>
    </row>
    <row r="64" ht="15.0" customHeight="1">
      <c r="A64" s="1"/>
      <c r="B64" s="24" t="s">
        <v>216</v>
      </c>
      <c r="C64" s="1"/>
      <c r="D64" s="1"/>
      <c r="E64" s="1"/>
      <c r="F64" s="1"/>
      <c r="G64" s="1"/>
      <c r="H64" s="1"/>
      <c r="I64" s="1"/>
      <c r="J64" s="1"/>
      <c r="K64" s="54">
        <v>0.55</v>
      </c>
      <c r="L64" s="22" t="s">
        <v>217</v>
      </c>
    </row>
    <row r="65" ht="15.0" customHeight="1">
      <c r="A65" s="1"/>
      <c r="B65" s="24" t="s">
        <v>218</v>
      </c>
      <c r="C65" s="1"/>
      <c r="D65" s="1"/>
      <c r="E65" s="1"/>
      <c r="F65" s="1"/>
      <c r="G65" s="1"/>
      <c r="H65" s="1"/>
      <c r="I65" s="1"/>
      <c r="J65" s="1"/>
      <c r="K65" s="54">
        <v>0.6</v>
      </c>
      <c r="L65" s="22" t="s">
        <v>219</v>
      </c>
    </row>
    <row r="66" ht="15.0" customHeight="1">
      <c r="A66" s="1"/>
      <c r="B66" s="24" t="s">
        <v>221</v>
      </c>
      <c r="C66" s="1"/>
      <c r="D66" s="1"/>
      <c r="E66" s="1"/>
      <c r="F66" s="1"/>
      <c r="G66" s="1"/>
      <c r="H66" s="1"/>
      <c r="I66" s="1"/>
      <c r="J66" s="1"/>
      <c r="K66" s="54">
        <v>0.45</v>
      </c>
      <c r="L66" s="22" t="s">
        <v>222</v>
      </c>
    </row>
    <row r="67" ht="15.0" customHeight="1">
      <c r="A67" s="1"/>
      <c r="B67" s="24" t="s">
        <v>224</v>
      </c>
      <c r="C67" s="1"/>
      <c r="D67" s="1"/>
      <c r="E67" s="1"/>
      <c r="F67" s="1"/>
      <c r="G67" s="1"/>
      <c r="H67" s="1"/>
      <c r="I67" s="1"/>
      <c r="J67" s="1"/>
      <c r="K67" s="54">
        <v>0.35</v>
      </c>
      <c r="L67" s="22" t="s">
        <v>225</v>
      </c>
    </row>
    <row r="68" ht="15.0" customHeight="1">
      <c r="A68" s="1"/>
      <c r="B68" s="24" t="s">
        <v>227</v>
      </c>
      <c r="C68" s="1"/>
      <c r="D68" s="1"/>
      <c r="E68" s="1"/>
      <c r="F68" s="1"/>
      <c r="G68" s="1"/>
      <c r="H68" s="1"/>
      <c r="I68" s="1"/>
      <c r="J68" s="1"/>
      <c r="K68" s="54">
        <v>-1.0</v>
      </c>
      <c r="L68" s="22" t="s">
        <v>229</v>
      </c>
    </row>
    <row r="69" ht="15.0" customHeight="1">
      <c r="A69" s="1"/>
      <c r="B69" s="24" t="s">
        <v>230</v>
      </c>
      <c r="C69" s="1"/>
      <c r="D69" s="1"/>
      <c r="E69" s="1"/>
      <c r="F69" s="1"/>
      <c r="G69" s="1"/>
      <c r="H69" s="1"/>
      <c r="I69" s="1"/>
      <c r="J69" s="1"/>
      <c r="K69" s="54">
        <v>-0.45</v>
      </c>
      <c r="L69" s="22" t="s">
        <v>231</v>
      </c>
    </row>
    <row r="70" ht="15.0" customHeight="1">
      <c r="A70" s="1"/>
      <c r="B70" s="24" t="s">
        <v>232</v>
      </c>
      <c r="C70" s="1"/>
      <c r="D70" s="1"/>
      <c r="E70" s="1"/>
      <c r="F70" s="1"/>
      <c r="G70" s="1"/>
      <c r="H70" s="1"/>
      <c r="I70" s="1"/>
      <c r="J70" s="1"/>
      <c r="K70" s="54">
        <v>-0.1</v>
      </c>
      <c r="L70" s="22" t="s">
        <v>234</v>
      </c>
    </row>
    <row r="71" ht="15.0" customHeight="1">
      <c r="A71" s="1"/>
      <c r="B71" s="24" t="s">
        <v>235</v>
      </c>
      <c r="C71" s="1"/>
      <c r="D71" s="1"/>
      <c r="E71" s="1"/>
      <c r="F71" s="1"/>
      <c r="G71" s="1"/>
      <c r="H71" s="1"/>
      <c r="I71" s="1"/>
      <c r="J71" s="1"/>
      <c r="K71" s="54">
        <v>0.08</v>
      </c>
      <c r="L71" s="22" t="s">
        <v>236</v>
      </c>
    </row>
    <row r="72" ht="15.0" customHeight="1">
      <c r="A72" s="1"/>
      <c r="B72" s="24" t="s">
        <v>237</v>
      </c>
      <c r="C72" s="1"/>
      <c r="D72" s="1"/>
      <c r="E72" s="1"/>
      <c r="F72" s="1"/>
      <c r="G72" s="1"/>
      <c r="H72" s="1"/>
      <c r="I72" s="1"/>
      <c r="J72" s="1"/>
      <c r="K72" s="54">
        <v>0.15</v>
      </c>
      <c r="L72" s="22" t="s">
        <v>238</v>
      </c>
    </row>
    <row r="73" ht="15.0" customHeight="1">
      <c r="A73" s="1"/>
      <c r="B73" s="24" t="s">
        <v>201</v>
      </c>
      <c r="C73" s="1"/>
      <c r="D73" s="1"/>
      <c r="E73" s="1"/>
      <c r="F73" s="1"/>
      <c r="G73" s="1"/>
      <c r="H73" s="1"/>
      <c r="I73" s="1"/>
      <c r="J73" s="1"/>
      <c r="K73" s="54">
        <v>0.15</v>
      </c>
      <c r="L73" s="22" t="s">
        <v>239</v>
      </c>
    </row>
    <row r="74" ht="15.0" customHeight="1">
      <c r="A74" s="1"/>
      <c r="B74" s="24" t="s">
        <v>240</v>
      </c>
      <c r="C74" s="1"/>
      <c r="D74" s="1"/>
      <c r="E74" s="1"/>
      <c r="F74" s="1"/>
      <c r="G74" s="1"/>
      <c r="H74" s="1"/>
      <c r="I74" s="1"/>
      <c r="J74" s="1"/>
      <c r="K74" s="54">
        <v>0.03</v>
      </c>
      <c r="L74" s="22" t="s">
        <v>241</v>
      </c>
    </row>
    <row r="75" ht="15.0" customHeight="1">
      <c r="A75" s="1"/>
      <c r="B75" s="24" t="s">
        <v>243</v>
      </c>
      <c r="C75" s="1"/>
      <c r="D75" s="1"/>
      <c r="E75" s="1"/>
      <c r="F75" s="1"/>
      <c r="G75" s="1"/>
      <c r="H75" s="1"/>
      <c r="I75" s="1"/>
      <c r="J75" s="1"/>
      <c r="K75" s="54">
        <v>0.05</v>
      </c>
      <c r="L75" s="22" t="s">
        <v>245</v>
      </c>
    </row>
    <row r="76" ht="15.0" customHeight="1">
      <c r="A76" s="1"/>
      <c r="B76" s="24" t="s">
        <v>246</v>
      </c>
      <c r="C76" s="1"/>
      <c r="D76" s="1"/>
      <c r="E76" s="1"/>
      <c r="F76" s="1"/>
      <c r="G76" s="1"/>
      <c r="H76" s="1"/>
      <c r="I76" s="1"/>
      <c r="J76" s="1"/>
      <c r="K76" s="54">
        <v>0.1</v>
      </c>
      <c r="L76" s="22" t="s">
        <v>247</v>
      </c>
    </row>
    <row r="77" ht="15.0" customHeight="1">
      <c r="A77" s="1"/>
      <c r="B77" s="24" t="s">
        <v>248</v>
      </c>
      <c r="C77" s="1"/>
      <c r="D77" s="1"/>
      <c r="E77" s="1"/>
      <c r="F77" s="1"/>
      <c r="G77" s="1"/>
      <c r="H77" s="1"/>
      <c r="I77" s="1"/>
      <c r="J77" s="1"/>
      <c r="K77" s="53">
        <v>1000.0</v>
      </c>
      <c r="L77" s="22" t="s">
        <v>249</v>
      </c>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3">
    <mergeCell ref="B54:L54"/>
    <mergeCell ref="B55:L55"/>
    <mergeCell ref="B56:L56"/>
    <mergeCell ref="B57:L57"/>
    <mergeCell ref="B58:L58"/>
    <mergeCell ref="B59:L59"/>
    <mergeCell ref="B2:L2"/>
    <mergeCell ref="B3:L3"/>
    <mergeCell ref="C5:E5"/>
    <mergeCell ref="F5:G5"/>
    <mergeCell ref="H5:I5"/>
    <mergeCell ref="J5:K5"/>
    <mergeCell ref="B53:L5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0.0"/>
    <col customWidth="1" min="3" max="10" width="11.0"/>
    <col customWidth="1" min="11" max="26" width="8.71"/>
  </cols>
  <sheetData>
    <row r="1">
      <c r="A1" s="1"/>
      <c r="B1" s="1"/>
      <c r="C1" s="1"/>
      <c r="D1" s="1"/>
      <c r="E1" s="1"/>
      <c r="F1" s="1"/>
      <c r="G1" s="1"/>
      <c r="H1" s="1"/>
      <c r="I1" s="1"/>
      <c r="J1" s="1"/>
    </row>
    <row r="2" ht="21.75" customHeight="1">
      <c r="A2" s="1"/>
      <c r="B2" s="3" t="s">
        <v>2</v>
      </c>
      <c r="C2" s="4"/>
      <c r="D2" s="4"/>
      <c r="E2" s="4"/>
      <c r="F2" s="4"/>
      <c r="G2" s="4"/>
      <c r="H2" s="4"/>
      <c r="I2" s="4"/>
      <c r="J2" s="5"/>
    </row>
    <row r="3" ht="25.5" customHeight="1">
      <c r="A3" s="1"/>
      <c r="B3" s="6" t="s">
        <v>8</v>
      </c>
    </row>
    <row r="4">
      <c r="A4" s="1"/>
      <c r="B4" s="1"/>
      <c r="C4" s="1"/>
      <c r="D4" s="1"/>
      <c r="E4" s="1"/>
      <c r="F4" s="1"/>
      <c r="G4" s="1"/>
      <c r="H4" s="1"/>
      <c r="I4" s="1"/>
      <c r="J4" s="1"/>
    </row>
    <row r="5" ht="15.0" customHeight="1">
      <c r="A5" s="1"/>
      <c r="B5" s="1"/>
      <c r="C5" s="13" t="s">
        <v>14</v>
      </c>
      <c r="D5" s="14"/>
      <c r="E5" s="16"/>
      <c r="F5" s="17" t="s">
        <v>18</v>
      </c>
      <c r="G5" s="14"/>
      <c r="H5" s="16"/>
      <c r="I5" s="18"/>
      <c r="J5" s="18"/>
    </row>
    <row r="6" ht="15.0" customHeight="1">
      <c r="A6" s="1"/>
      <c r="B6" s="10" t="s">
        <v>21</v>
      </c>
      <c r="C6" s="10" t="s">
        <v>23</v>
      </c>
      <c r="D6" s="10" t="s">
        <v>24</v>
      </c>
      <c r="E6" s="10" t="s">
        <v>25</v>
      </c>
      <c r="F6" s="10" t="s">
        <v>26</v>
      </c>
      <c r="G6" s="10" t="s">
        <v>33</v>
      </c>
      <c r="H6" s="10" t="s">
        <v>35</v>
      </c>
      <c r="I6" s="10" t="s">
        <v>37</v>
      </c>
      <c r="J6" s="1"/>
    </row>
    <row r="7" ht="15.0" customHeight="1">
      <c r="A7" s="1"/>
      <c r="B7" s="11" t="s">
        <v>42</v>
      </c>
      <c r="C7" s="29">
        <f>DATOS!C8</f>
        <v>12230</v>
      </c>
      <c r="D7" s="29">
        <f>DATOS!D8</f>
        <v>17780</v>
      </c>
      <c r="E7" s="29">
        <f>DATOS!E8</f>
        <v>10800</v>
      </c>
      <c r="F7" s="29">
        <f>DATOS!F8</f>
        <v>5010</v>
      </c>
      <c r="G7" s="29">
        <f>DATOS!G8</f>
        <v>2780</v>
      </c>
      <c r="H7" s="29">
        <f>DATOS!H8</f>
        <v>1100</v>
      </c>
      <c r="I7" s="29">
        <f>DATOS!I8</f>
        <v>1120</v>
      </c>
      <c r="J7" s="1"/>
    </row>
    <row r="8" ht="15.0" customHeight="1">
      <c r="A8" s="1"/>
      <c r="B8" s="24" t="s">
        <v>58</v>
      </c>
      <c r="C8" s="27" t="str">
        <f>DATOS!C10</f>
        <v/>
      </c>
      <c r="D8" s="27" t="str">
        <f>DATOS!D10</f>
        <v/>
      </c>
      <c r="E8" s="27">
        <f>DATOS!E10</f>
        <v>2000</v>
      </c>
      <c r="F8" s="27" t="str">
        <f>DATOS!F10</f>
        <v/>
      </c>
      <c r="G8" s="27" t="str">
        <f>DATOS!G10</f>
        <v/>
      </c>
      <c r="H8" s="27" t="str">
        <f>DATOS!H10</f>
        <v/>
      </c>
      <c r="I8" s="27" t="str">
        <f>DATOS!I10</f>
        <v/>
      </c>
      <c r="J8" s="1"/>
    </row>
    <row r="9" ht="15.0" customHeight="1">
      <c r="A9" s="1"/>
      <c r="B9" s="24" t="s">
        <v>65</v>
      </c>
      <c r="C9" s="27">
        <f>DATOS!C11</f>
        <v>6080</v>
      </c>
      <c r="D9" s="27">
        <f>DATOS!D11</f>
        <v>9930</v>
      </c>
      <c r="E9" s="27">
        <f>DATOS!E11</f>
        <v>5780</v>
      </c>
      <c r="F9" s="27" t="str">
        <f>DATOS!F11</f>
        <v/>
      </c>
      <c r="G9" s="27" t="str">
        <f>DATOS!G11</f>
        <v/>
      </c>
      <c r="H9" s="27" t="str">
        <f>DATOS!H11</f>
        <v/>
      </c>
      <c r="I9" s="27" t="str">
        <f>DATOS!I11</f>
        <v/>
      </c>
      <c r="J9" s="1"/>
    </row>
    <row r="10" ht="15.0" customHeight="1">
      <c r="A10" s="1"/>
      <c r="B10" s="11" t="s">
        <v>68</v>
      </c>
      <c r="C10" s="29">
        <f>DATOS!C12</f>
        <v>6150</v>
      </c>
      <c r="D10" s="29">
        <f>DATOS!D12</f>
        <v>7850</v>
      </c>
      <c r="E10" s="29">
        <f>DATOS!E12</f>
        <v>5020</v>
      </c>
      <c r="F10" s="29" t="str">
        <f>DATOS!F12</f>
        <v/>
      </c>
      <c r="G10" s="29" t="str">
        <f>DATOS!G12</f>
        <v/>
      </c>
      <c r="H10" s="29" t="str">
        <f>DATOS!H12</f>
        <v/>
      </c>
      <c r="I10" s="29" t="str">
        <f>DATOS!I12</f>
        <v/>
      </c>
      <c r="J10" s="1"/>
    </row>
    <row r="11" ht="15.0" customHeight="1">
      <c r="A11" s="1"/>
      <c r="B11" s="11" t="s">
        <v>121</v>
      </c>
      <c r="C11" s="44">
        <f>IFERROR(DATOS!C12/DATOS!C8,"—")</f>
        <v>0.5028618152</v>
      </c>
      <c r="D11" s="44">
        <f>IFERROR(DATOS!D12/DATOS!D8,"—")</f>
        <v>0.4415073116</v>
      </c>
      <c r="E11" s="44">
        <f>IFERROR(DATOS!E12/DATOS!E8,"—")</f>
        <v>0.4648148148</v>
      </c>
      <c r="F11" s="44">
        <f>IFERROR(DATOS!F12/DATOS!F8,"—")</f>
        <v>0</v>
      </c>
      <c r="G11" s="44">
        <f>IFERROR(DATOS!G12/DATOS!G8,"—")</f>
        <v>0</v>
      </c>
      <c r="H11" s="44">
        <f>IFERROR(DATOS!H12/DATOS!H8,"—")</f>
        <v>0</v>
      </c>
      <c r="I11" s="44">
        <f>IFERROR(DATOS!I12/DATOS!I8,"—")</f>
        <v>0</v>
      </c>
      <c r="J11" s="1"/>
    </row>
    <row r="12" ht="15.0" customHeight="1">
      <c r="A12" s="1"/>
      <c r="B12" s="24" t="s">
        <v>71</v>
      </c>
      <c r="C12" s="27">
        <f>DATOS!C13</f>
        <v>10340</v>
      </c>
      <c r="D12" s="27">
        <f>DATOS!D13</f>
        <v>12180</v>
      </c>
      <c r="E12" s="27" t="str">
        <f>DATOS!E13</f>
        <v/>
      </c>
      <c r="F12" s="27" t="str">
        <f>DATOS!F13</f>
        <v/>
      </c>
      <c r="G12" s="27" t="str">
        <f>DATOS!G13</f>
        <v/>
      </c>
      <c r="H12" s="27" t="str">
        <f>DATOS!H13</f>
        <v/>
      </c>
      <c r="I12" s="27" t="str">
        <f>DATOS!I13</f>
        <v/>
      </c>
      <c r="J12" s="1"/>
    </row>
    <row r="13" ht="15.0" customHeight="1">
      <c r="A13" s="1"/>
      <c r="B13" s="11" t="s">
        <v>76</v>
      </c>
      <c r="C13" s="29">
        <f>DATOS!C14</f>
        <v>-4190</v>
      </c>
      <c r="D13" s="29">
        <f>DATOS!D14</f>
        <v>-4330</v>
      </c>
      <c r="E13" s="29">
        <f>DATOS!E14</f>
        <v>-10000</v>
      </c>
      <c r="F13" s="29" t="str">
        <f>DATOS!F14</f>
        <v/>
      </c>
      <c r="G13" s="29" t="str">
        <f>DATOS!G14</f>
        <v/>
      </c>
      <c r="H13" s="29" t="str">
        <f>DATOS!H14</f>
        <v/>
      </c>
      <c r="I13" s="29" t="str">
        <f>DATOS!I14</f>
        <v/>
      </c>
      <c r="J13" s="1"/>
    </row>
    <row r="14" ht="15.0" customHeight="1">
      <c r="A14" s="1"/>
      <c r="B14" s="11" t="s">
        <v>83</v>
      </c>
      <c r="C14" s="29">
        <f>DATOS!C16</f>
        <v>-3500</v>
      </c>
      <c r="D14" s="29">
        <f>DATOS!D16</f>
        <v>-4347</v>
      </c>
      <c r="E14" s="29">
        <f>DATOS!E16</f>
        <v>-15200</v>
      </c>
      <c r="F14" s="29">
        <f>DATOS!F16</f>
        <v>-1190</v>
      </c>
      <c r="G14" s="29" t="str">
        <f>DATOS!G16</f>
        <v/>
      </c>
      <c r="H14" s="29">
        <f>DATOS!H16</f>
        <v>-6480</v>
      </c>
      <c r="I14" s="29">
        <f>DATOS!I16</f>
        <v>-1000</v>
      </c>
      <c r="J14" s="1"/>
    </row>
    <row r="15" ht="15.0" customHeight="1">
      <c r="A15" s="1"/>
      <c r="B15" s="24" t="s">
        <v>183</v>
      </c>
      <c r="C15" s="27" t="str">
        <f>DATOS!C17</f>
        <v/>
      </c>
      <c r="D15" s="27">
        <f>DATOS!D17</f>
        <v>-3490</v>
      </c>
      <c r="E15" s="27" t="str">
        <f>DATOS!E17</f>
        <v/>
      </c>
      <c r="F15" s="27" t="str">
        <f>DATOS!F17</f>
        <v/>
      </c>
      <c r="G15" s="27" t="str">
        <f>DATOS!G17</f>
        <v/>
      </c>
      <c r="H15" s="27" t="str">
        <f>DATOS!H17</f>
        <v/>
      </c>
      <c r="I15" s="27" t="str">
        <f>DATOS!I17</f>
        <v/>
      </c>
      <c r="J15" s="1"/>
    </row>
    <row r="16" ht="15.0" customHeight="1">
      <c r="A16" s="1"/>
      <c r="B16" s="24" t="s">
        <v>92</v>
      </c>
      <c r="C16" s="27" t="str">
        <f>DATOS!C18</f>
        <v/>
      </c>
      <c r="D16" s="27">
        <f>DATOS!D18</f>
        <v>-0.006</v>
      </c>
      <c r="E16" s="27">
        <f>DATOS!E18</f>
        <v>-0.038</v>
      </c>
      <c r="F16" s="27">
        <f>DATOS!F18</f>
        <v>-0.001</v>
      </c>
      <c r="G16" s="27">
        <f>DATOS!G18</f>
        <v>0</v>
      </c>
      <c r="H16" s="27">
        <f>DATOS!H18</f>
        <v>-0.02</v>
      </c>
      <c r="I16" s="27">
        <f>DATOS!I18</f>
        <v>-0.01</v>
      </c>
      <c r="J16" s="1"/>
    </row>
    <row r="17">
      <c r="A17" s="1"/>
      <c r="B17" s="1"/>
      <c r="C17" s="1"/>
      <c r="D17" s="1"/>
      <c r="E17" s="1"/>
      <c r="F17" s="1"/>
      <c r="G17" s="1"/>
      <c r="H17" s="1"/>
      <c r="I17" s="1"/>
      <c r="J17" s="1"/>
    </row>
    <row r="18" ht="91.5" customHeight="1">
      <c r="A18" s="1"/>
      <c r="B18" s="51" t="s">
        <v>199</v>
      </c>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5">
    <mergeCell ref="B2:J2"/>
    <mergeCell ref="B3:J3"/>
    <mergeCell ref="C5:E5"/>
    <mergeCell ref="F5:H5"/>
    <mergeCell ref="B18:I1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40.0"/>
    <col customWidth="1" min="3" max="4" width="13.0"/>
    <col customWidth="1" min="5" max="5" width="48.0"/>
    <col customWidth="1" min="6" max="26" width="8.71"/>
  </cols>
  <sheetData>
    <row r="1">
      <c r="A1" s="1"/>
      <c r="B1" s="1"/>
      <c r="C1" s="1"/>
      <c r="D1" s="1"/>
      <c r="E1" s="1"/>
    </row>
    <row r="2" ht="21.75" customHeight="1">
      <c r="A2" s="1"/>
      <c r="B2" s="3" t="s">
        <v>3</v>
      </c>
      <c r="C2" s="4"/>
      <c r="D2" s="4"/>
      <c r="E2" s="5"/>
    </row>
    <row r="3" ht="15.0" customHeight="1">
      <c r="A3" s="1"/>
      <c r="B3" s="6" t="s">
        <v>4</v>
      </c>
    </row>
    <row r="4">
      <c r="A4" s="1"/>
      <c r="B4" s="1"/>
      <c r="C4" s="1"/>
      <c r="D4" s="1"/>
      <c r="E4" s="1"/>
    </row>
    <row r="5" ht="15.0" customHeight="1">
      <c r="A5" s="1"/>
      <c r="B5" s="8" t="s">
        <v>7</v>
      </c>
      <c r="C5" s="10" t="s">
        <v>10</v>
      </c>
      <c r="D5" s="10" t="s">
        <v>11</v>
      </c>
      <c r="E5" s="8" t="s">
        <v>12</v>
      </c>
    </row>
    <row r="6" ht="15.0" customHeight="1">
      <c r="A6" s="1"/>
      <c r="B6" s="12" t="s">
        <v>15</v>
      </c>
      <c r="C6" s="9"/>
      <c r="D6" s="9"/>
      <c r="E6" s="9"/>
    </row>
    <row r="7" ht="15.0" customHeight="1">
      <c r="A7" s="1"/>
      <c r="B7" s="11" t="s">
        <v>17</v>
      </c>
      <c r="C7" s="21">
        <f>DATOS!J21</f>
        <v>3548</v>
      </c>
      <c r="D7" s="21">
        <f>DATOS!K21</f>
        <v>3900</v>
      </c>
      <c r="E7" s="22" t="s">
        <v>30</v>
      </c>
    </row>
    <row r="8" ht="15.0" customHeight="1">
      <c r="A8" s="1"/>
      <c r="B8" s="24" t="s">
        <v>40</v>
      </c>
      <c r="C8" s="27">
        <f>DATOS!J22</f>
        <v>1200</v>
      </c>
      <c r="D8" s="27">
        <f>DATOS!K22</f>
        <v>900</v>
      </c>
      <c r="E8" s="22"/>
    </row>
    <row r="9" ht="15.0" customHeight="1">
      <c r="A9" s="1"/>
      <c r="B9" s="24" t="s">
        <v>47</v>
      </c>
      <c r="C9" s="27">
        <f>DATOS!J23</f>
        <v>330</v>
      </c>
      <c r="D9" s="27">
        <f>DATOS!K23</f>
        <v>400</v>
      </c>
      <c r="E9" s="22"/>
    </row>
    <row r="10" ht="15.0" customHeight="1">
      <c r="A10" s="1"/>
      <c r="B10" s="11" t="s">
        <v>52</v>
      </c>
      <c r="C10" s="29">
        <f>DATOS!J24</f>
        <v>8037</v>
      </c>
      <c r="D10" s="29">
        <f>DATOS!K24</f>
        <v>5500</v>
      </c>
      <c r="E10" s="22"/>
    </row>
    <row r="11" ht="15.0" customHeight="1">
      <c r="A11" s="1"/>
      <c r="B11" s="24" t="s">
        <v>57</v>
      </c>
      <c r="C11" s="27">
        <f>DATOS!J25</f>
        <v>2476</v>
      </c>
      <c r="D11" s="27">
        <f>DATOS!K25</f>
        <v>2500</v>
      </c>
      <c r="E11" s="22" t="s">
        <v>62</v>
      </c>
    </row>
    <row r="12" ht="15.0" customHeight="1">
      <c r="A12" s="1"/>
      <c r="B12" s="11" t="s">
        <v>63</v>
      </c>
      <c r="C12" s="29">
        <f>DATOS!J26</f>
        <v>10513</v>
      </c>
      <c r="D12" s="29">
        <f>DATOS!K26</f>
        <v>8000</v>
      </c>
      <c r="E12" s="22"/>
    </row>
    <row r="13" ht="15.0" customHeight="1">
      <c r="A13" s="1"/>
      <c r="B13" s="12" t="s">
        <v>69</v>
      </c>
      <c r="C13" s="9"/>
      <c r="D13" s="9"/>
      <c r="E13" s="9"/>
    </row>
    <row r="14" ht="15.0" customHeight="1">
      <c r="A14" s="1"/>
      <c r="B14" s="24" t="s">
        <v>72</v>
      </c>
      <c r="C14" s="27">
        <f>DATOS!J27</f>
        <v>3200</v>
      </c>
      <c r="D14" s="27">
        <f>DATOS!K27</f>
        <v>3500</v>
      </c>
      <c r="E14" s="22"/>
    </row>
    <row r="15" ht="15.0" customHeight="1">
      <c r="A15" s="1"/>
      <c r="B15" s="24" t="s">
        <v>82</v>
      </c>
      <c r="C15" s="27">
        <f>DATOS!J28</f>
        <v>1257</v>
      </c>
      <c r="D15" s="27">
        <f>DATOS!K28</f>
        <v>2500</v>
      </c>
      <c r="E15" s="22" t="s">
        <v>88</v>
      </c>
    </row>
    <row r="16" ht="15.0" customHeight="1">
      <c r="A16" s="1"/>
      <c r="B16" s="11" t="s">
        <v>90</v>
      </c>
      <c r="C16" s="29">
        <f>DATOS!J29</f>
        <v>4457</v>
      </c>
      <c r="D16" s="29">
        <f>DATOS!K29</f>
        <v>5000</v>
      </c>
      <c r="E16" s="22"/>
    </row>
    <row r="17" ht="15.0" customHeight="1">
      <c r="A17" s="1"/>
      <c r="B17" s="11" t="s">
        <v>99</v>
      </c>
      <c r="C17" s="29">
        <f>DATOS!J31</f>
        <v>6056</v>
      </c>
      <c r="D17" s="29">
        <f>DATOS!K31</f>
        <v>3000</v>
      </c>
      <c r="E17" s="22" t="s">
        <v>110</v>
      </c>
    </row>
    <row r="18">
      <c r="A18" s="1"/>
      <c r="B18" s="1"/>
      <c r="C18" s="1"/>
      <c r="D18" s="1"/>
      <c r="E18" s="1"/>
    </row>
    <row r="19" ht="15.0" customHeight="1">
      <c r="A19" s="1"/>
      <c r="B19" s="12" t="s">
        <v>114</v>
      </c>
      <c r="C19" s="9"/>
      <c r="D19" s="9"/>
      <c r="E19" s="9"/>
    </row>
    <row r="20" ht="15.0" customHeight="1">
      <c r="A20" s="1"/>
      <c r="B20" s="24" t="s">
        <v>116</v>
      </c>
      <c r="C20" s="43">
        <f>IFERROR(DATOS!J24/DATOS!J27,"n/d")</f>
        <v>2.5115625</v>
      </c>
      <c r="D20" s="43">
        <f>IFERROR(DATOS!K24/DATOS!K27,"n/d")</f>
        <v>1.571428571</v>
      </c>
      <c r="E20" s="22" t="s">
        <v>147</v>
      </c>
    </row>
    <row r="21" ht="15.0" customHeight="1">
      <c r="A21" s="1"/>
      <c r="B21" s="24" t="s">
        <v>149</v>
      </c>
      <c r="C21" s="44">
        <f>IFERROR(DATOS!J21/DATOS!J29,"n/d")</f>
        <v>0.7960511555</v>
      </c>
      <c r="D21" s="44">
        <f>IFERROR(DATOS!K21/DATOS!K29,"n/d")</f>
        <v>0.78</v>
      </c>
      <c r="E21" s="22" t="s">
        <v>155</v>
      </c>
    </row>
    <row r="22" ht="15.0" customHeight="1">
      <c r="A22" s="1"/>
      <c r="B22" s="24" t="s">
        <v>157</v>
      </c>
      <c r="C22" s="43">
        <f>IFERROR(DATOS!J32/DATOS!J31,"n/d")</f>
        <v>0.2075627477</v>
      </c>
      <c r="D22" s="43">
        <f>IFERROR(DATOS!K32/DATOS!K31,"n/d")</f>
        <v>0.8333333333</v>
      </c>
      <c r="E22" s="22" t="s">
        <v>164</v>
      </c>
    </row>
    <row r="23" ht="15.0" customHeight="1">
      <c r="A23" s="1"/>
      <c r="B23" s="24" t="s">
        <v>165</v>
      </c>
      <c r="C23" s="44">
        <f>IFERROR(DATOS!J31/DATOS!J26,"n/d")</f>
        <v>0.5760487016</v>
      </c>
      <c r="D23" s="44">
        <f>IFERROR(DATOS!K31/DATOS!K26,"n/d")</f>
        <v>0.375</v>
      </c>
      <c r="E23" s="22" t="s">
        <v>171</v>
      </c>
    </row>
    <row r="24" ht="15.75" customHeight="1">
      <c r="A24" s="1"/>
      <c r="B24" s="1"/>
      <c r="C24" s="1"/>
      <c r="D24" s="1"/>
      <c r="E24" s="1"/>
    </row>
    <row r="25" ht="91.5" customHeight="1">
      <c r="A25" s="1"/>
      <c r="B25" s="47" t="s">
        <v>173</v>
      </c>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5:E2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8.0"/>
    <col customWidth="1" min="3" max="4" width="14.0"/>
    <col customWidth="1" min="5" max="5" width="52.0"/>
    <col customWidth="1" min="6" max="26" width="8.71"/>
  </cols>
  <sheetData>
    <row r="1">
      <c r="A1" s="1"/>
      <c r="B1" s="1"/>
      <c r="C1" s="1"/>
      <c r="D1" s="1"/>
      <c r="E1" s="1"/>
    </row>
    <row r="2" ht="24.0" customHeight="1">
      <c r="A2" s="1"/>
      <c r="B2" s="55" t="s">
        <v>215</v>
      </c>
      <c r="C2" s="4"/>
      <c r="D2" s="4"/>
      <c r="E2" s="5"/>
    </row>
    <row r="3" ht="25.5" customHeight="1">
      <c r="A3" s="1"/>
      <c r="B3" s="6" t="s">
        <v>220</v>
      </c>
    </row>
    <row r="4">
      <c r="A4" s="1"/>
      <c r="B4" s="1"/>
      <c r="C4" s="1"/>
      <c r="D4" s="1"/>
      <c r="E4" s="1"/>
    </row>
    <row r="5" ht="15.0" customHeight="1">
      <c r="A5" s="1"/>
      <c r="B5" s="8" t="s">
        <v>223</v>
      </c>
      <c r="C5" s="10" t="s">
        <v>31</v>
      </c>
      <c r="D5" s="10" t="s">
        <v>32</v>
      </c>
      <c r="E5" s="8" t="s">
        <v>226</v>
      </c>
    </row>
    <row r="6" ht="23.25" customHeight="1">
      <c r="A6" s="1"/>
      <c r="B6" s="56" t="s">
        <v>228</v>
      </c>
      <c r="C6" s="57"/>
      <c r="D6" s="57"/>
      <c r="E6" s="57"/>
    </row>
    <row r="7" ht="15.0" customHeight="1">
      <c r="A7" s="1"/>
      <c r="B7" s="24" t="s">
        <v>233</v>
      </c>
      <c r="C7" s="58">
        <f>DATOS!K21</f>
        <v>3900</v>
      </c>
      <c r="D7" s="58">
        <f>DATOS!K21</f>
        <v>3900</v>
      </c>
      <c r="E7" s="35" t="s">
        <v>242</v>
      </c>
    </row>
    <row r="8" ht="15.0" customHeight="1">
      <c r="A8" s="1"/>
      <c r="B8" s="24" t="s">
        <v>244</v>
      </c>
      <c r="C8" s="58">
        <f>-DATOS!D34</f>
        <v>3000</v>
      </c>
      <c r="D8" s="58">
        <f>-DATOS!E34</f>
        <v>5000</v>
      </c>
      <c r="E8" s="35" t="s">
        <v>250</v>
      </c>
    </row>
    <row r="9" ht="15.0" customHeight="1">
      <c r="A9" s="1"/>
      <c r="B9" s="24" t="s">
        <v>251</v>
      </c>
      <c r="C9" s="59">
        <f>IFERROR(DATOS!K21/(-DATOS!D34)*12,"n/d")</f>
        <v>15.6</v>
      </c>
      <c r="D9" s="59">
        <f>IFERROR(DATOS!K21/(-DATOS!E34)*12,"n/d")</f>
        <v>9.36</v>
      </c>
      <c r="E9" s="35" t="s">
        <v>252</v>
      </c>
    </row>
    <row r="10" ht="15.0" customHeight="1">
      <c r="A10" s="1"/>
      <c r="B10" s="56" t="s">
        <v>253</v>
      </c>
      <c r="C10" s="57"/>
      <c r="D10" s="57"/>
      <c r="E10" s="57"/>
    </row>
    <row r="11" ht="15.0" customHeight="1">
      <c r="A11" s="1"/>
      <c r="B11" s="24" t="s">
        <v>254</v>
      </c>
      <c r="C11" s="44">
        <f>IFERROR(DATOS!D12/DATOS!D8,"n/d")</f>
        <v>0.4415073116</v>
      </c>
      <c r="D11" s="44">
        <f>IFERROR(DATOS!E12/DATOS!E8,"n/d")</f>
        <v>0.4648148148</v>
      </c>
      <c r="E11" s="35" t="s">
        <v>255</v>
      </c>
    </row>
    <row r="12" ht="15.0" customHeight="1">
      <c r="A12" s="1"/>
      <c r="B12" s="24" t="s">
        <v>256</v>
      </c>
      <c r="C12" s="58">
        <f>DATOS!D14</f>
        <v>-4330</v>
      </c>
      <c r="D12" s="58">
        <f>DATOS!E14</f>
        <v>-10000</v>
      </c>
      <c r="E12" s="35" t="s">
        <v>50</v>
      </c>
    </row>
    <row r="13" ht="15.0" customHeight="1">
      <c r="A13" s="1"/>
      <c r="B13" s="24" t="s">
        <v>257</v>
      </c>
      <c r="C13" s="44">
        <f>IFERROR(DATOS!D14/DATOS!D8,"n/d")</f>
        <v>-0.2435320585</v>
      </c>
      <c r="D13" s="44">
        <f>IFERROR(DATOS!E14/DATOS!E8,"n/d")</f>
        <v>-0.9259259259</v>
      </c>
      <c r="E13" s="35" t="s">
        <v>258</v>
      </c>
    </row>
    <row r="14" ht="15.0" customHeight="1">
      <c r="A14" s="1"/>
      <c r="B14" s="56" t="s">
        <v>259</v>
      </c>
      <c r="C14" s="57"/>
      <c r="D14" s="57"/>
      <c r="E14" s="57"/>
    </row>
    <row r="15" ht="15.0" customHeight="1">
      <c r="A15" s="1"/>
      <c r="B15" s="24" t="s">
        <v>260</v>
      </c>
      <c r="C15" s="58">
        <f>DATOS!D8</f>
        <v>17780</v>
      </c>
      <c r="D15" s="58">
        <f>DATOS!E8</f>
        <v>10800</v>
      </c>
      <c r="E15" s="35" t="s">
        <v>261</v>
      </c>
    </row>
    <row r="16" ht="15.0" customHeight="1">
      <c r="A16" s="1"/>
      <c r="B16" s="24" t="s">
        <v>262</v>
      </c>
      <c r="C16" s="58" t="str">
        <f>"n/d"</f>
        <v>n/d</v>
      </c>
      <c r="D16" s="58">
        <f>DATOS!E10</f>
        <v>2000</v>
      </c>
      <c r="E16" s="35" t="s">
        <v>263</v>
      </c>
    </row>
    <row r="17" ht="15.0" customHeight="1">
      <c r="A17" s="1"/>
      <c r="B17" s="56" t="s">
        <v>264</v>
      </c>
      <c r="C17" s="57"/>
      <c r="D17" s="57"/>
      <c r="E17" s="57"/>
    </row>
    <row r="18" ht="15.0" customHeight="1">
      <c r="A18" s="1"/>
      <c r="B18" s="24" t="s">
        <v>265</v>
      </c>
      <c r="C18" s="58">
        <f>DATOS!K38*1000</f>
        <v>42000</v>
      </c>
      <c r="D18" s="58">
        <f>DATOS!K38*1000</f>
        <v>42000</v>
      </c>
      <c r="E18" s="35" t="s">
        <v>266</v>
      </c>
    </row>
    <row r="19" ht="15.0" customHeight="1">
      <c r="A19" s="1"/>
      <c r="B19" s="24" t="s">
        <v>267</v>
      </c>
      <c r="C19" s="58">
        <f>(DATOS!K41+DATOS!K42+DATOS!K43+DATOS!K44)*1000</f>
        <v>68000</v>
      </c>
      <c r="D19" s="58">
        <f>(DATOS!K41+DATOS!K42+DATOS!K43+DATOS!K44)*1000</f>
        <v>68000</v>
      </c>
      <c r="E19" s="35" t="s">
        <v>268</v>
      </c>
    </row>
    <row r="20">
      <c r="A20" s="1"/>
      <c r="B20" s="1"/>
      <c r="C20" s="1"/>
      <c r="D20" s="1"/>
      <c r="E20" s="1"/>
    </row>
    <row r="21" ht="103.5" customHeight="1">
      <c r="A21" s="1"/>
      <c r="B21" s="51" t="s">
        <v>269</v>
      </c>
    </row>
    <row r="22" ht="15.75" customHeight="1">
      <c r="A22" s="1"/>
      <c r="B22" s="1"/>
      <c r="C22" s="1"/>
      <c r="D22" s="1"/>
      <c r="E22" s="1"/>
    </row>
    <row r="23" ht="15.75" customHeight="1">
      <c r="A23" s="1"/>
      <c r="B23" s="1"/>
      <c r="C23" s="1"/>
      <c r="D23" s="1"/>
      <c r="E23" s="1"/>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1:E2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2.0"/>
    <col customWidth="1" min="3" max="8" width="12.0"/>
    <col customWidth="1" min="9" max="9" width="32.0"/>
    <col customWidth="1" min="10" max="26" width="8.71"/>
  </cols>
  <sheetData>
    <row r="1">
      <c r="A1" s="1"/>
      <c r="B1" s="1"/>
      <c r="C1" s="1"/>
      <c r="D1" s="1"/>
      <c r="E1" s="1"/>
      <c r="F1" s="1"/>
      <c r="G1" s="1"/>
      <c r="H1" s="1"/>
      <c r="I1" s="1"/>
    </row>
    <row r="2" ht="24.0" customHeight="1">
      <c r="A2" s="1"/>
      <c r="B2" s="55" t="s">
        <v>270</v>
      </c>
      <c r="C2" s="4"/>
      <c r="D2" s="4"/>
      <c r="E2" s="4"/>
      <c r="F2" s="4"/>
      <c r="G2" s="4"/>
      <c r="H2" s="4"/>
      <c r="I2" s="5"/>
    </row>
    <row r="3" ht="30.0" customHeight="1">
      <c r="A3" s="1"/>
      <c r="B3" s="6" t="s">
        <v>271</v>
      </c>
    </row>
    <row r="4">
      <c r="A4" s="1"/>
      <c r="B4" s="1"/>
      <c r="C4" s="1"/>
      <c r="D4" s="1"/>
      <c r="E4" s="1"/>
      <c r="F4" s="1"/>
      <c r="G4" s="1"/>
      <c r="H4" s="1"/>
      <c r="I4" s="1"/>
    </row>
    <row r="5">
      <c r="A5" s="1"/>
      <c r="B5" s="1"/>
      <c r="C5" s="1"/>
      <c r="D5" s="1"/>
      <c r="E5" s="1"/>
      <c r="F5" s="1"/>
      <c r="G5" s="1"/>
      <c r="H5" s="1"/>
      <c r="I5" s="1"/>
    </row>
    <row r="6" ht="15.0" customHeight="1">
      <c r="A6" s="1"/>
      <c r="B6" s="8" t="s">
        <v>21</v>
      </c>
      <c r="C6" s="10" t="s">
        <v>272</v>
      </c>
      <c r="D6" s="10" t="s">
        <v>273</v>
      </c>
      <c r="E6" s="10" t="s">
        <v>274</v>
      </c>
      <c r="F6" s="10" t="s">
        <v>275</v>
      </c>
      <c r="G6" s="10" t="s">
        <v>276</v>
      </c>
      <c r="H6" s="10" t="s">
        <v>277</v>
      </c>
      <c r="I6" s="8" t="s">
        <v>278</v>
      </c>
    </row>
    <row r="7" ht="15.0" customHeight="1">
      <c r="A7" s="1"/>
      <c r="B7" s="56" t="s">
        <v>279</v>
      </c>
      <c r="C7" s="57"/>
      <c r="D7" s="57"/>
      <c r="E7" s="57"/>
      <c r="F7" s="57"/>
      <c r="G7" s="57"/>
      <c r="H7" s="57"/>
      <c r="I7" s="57"/>
    </row>
    <row r="8" ht="15.0" customHeight="1">
      <c r="A8" s="1"/>
      <c r="B8" s="11" t="s">
        <v>280</v>
      </c>
      <c r="C8" s="60">
        <f>DATOS!$K$62</f>
        <v>5000</v>
      </c>
      <c r="D8" s="60">
        <f>C8*(1+DATOS!$K$63)</f>
        <v>7000</v>
      </c>
      <c r="E8" s="60">
        <f>D8*(1+DATOS!$K$64)</f>
        <v>10850</v>
      </c>
      <c r="F8" s="60">
        <f>E8*(1+DATOS!$K$65)</f>
        <v>17360</v>
      </c>
      <c r="G8" s="60">
        <f>F8*(1+DATOS!$K$66)</f>
        <v>25172</v>
      </c>
      <c r="H8" s="60">
        <f>G8*(1+DATOS!$K$67)</f>
        <v>33982.2</v>
      </c>
      <c r="I8" s="22" t="s">
        <v>281</v>
      </c>
    </row>
    <row r="9" ht="15.0" customHeight="1">
      <c r="A9" s="1"/>
      <c r="B9" s="24" t="s">
        <v>282</v>
      </c>
      <c r="C9" s="18"/>
      <c r="D9" s="44">
        <f t="shared" ref="D9:H9" si="1">D8/C8-1</f>
        <v>0.4</v>
      </c>
      <c r="E9" s="44">
        <f t="shared" si="1"/>
        <v>0.55</v>
      </c>
      <c r="F9" s="44">
        <f t="shared" si="1"/>
        <v>0.6</v>
      </c>
      <c r="G9" s="44">
        <f t="shared" si="1"/>
        <v>0.45</v>
      </c>
      <c r="H9" s="44">
        <f t="shared" si="1"/>
        <v>0.35</v>
      </c>
      <c r="I9" s="22"/>
    </row>
    <row r="10" ht="18.75" customHeight="1">
      <c r="A10" s="1"/>
      <c r="B10" s="11" t="s">
        <v>283</v>
      </c>
      <c r="C10" s="18"/>
      <c r="D10" s="60">
        <f>D8*DATOS!$K$68</f>
        <v>-7000</v>
      </c>
      <c r="E10" s="60">
        <f>E8*DATOS!$K$69</f>
        <v>-4882.5</v>
      </c>
      <c r="F10" s="60">
        <f>F8*DATOS!$K$70</f>
        <v>-1736</v>
      </c>
      <c r="G10" s="60">
        <f>G8*DATOS!$K$71</f>
        <v>2013.76</v>
      </c>
      <c r="H10" s="60">
        <f>H8*DATOS!$K$72</f>
        <v>5097.33</v>
      </c>
      <c r="I10" s="22" t="s">
        <v>284</v>
      </c>
    </row>
    <row r="11" ht="18.75" customHeight="1">
      <c r="A11" s="1"/>
      <c r="B11" s="24" t="s">
        <v>285</v>
      </c>
      <c r="C11" s="18"/>
      <c r="D11" s="44">
        <f>DATOS!$K$68</f>
        <v>-1</v>
      </c>
      <c r="E11" s="44">
        <f>DATOS!$K$69</f>
        <v>-0.45</v>
      </c>
      <c r="F11" s="44">
        <f>DATOS!$K$70</f>
        <v>-0.1</v>
      </c>
      <c r="G11" s="44">
        <f>DATOS!$K$71</f>
        <v>0.08</v>
      </c>
      <c r="H11" s="44">
        <f>DATOS!$K$72</f>
        <v>0.15</v>
      </c>
      <c r="I11" s="22" t="s">
        <v>286</v>
      </c>
    </row>
    <row r="12" ht="18.75" customHeight="1">
      <c r="A12" s="1"/>
      <c r="B12" s="11" t="s">
        <v>287</v>
      </c>
      <c r="C12" s="18"/>
      <c r="D12" s="60">
        <f t="shared" ref="D12:H12" si="2">D10</f>
        <v>-7000</v>
      </c>
      <c r="E12" s="60">
        <f t="shared" si="2"/>
        <v>-4882.5</v>
      </c>
      <c r="F12" s="60">
        <f t="shared" si="2"/>
        <v>-1736</v>
      </c>
      <c r="G12" s="60">
        <f t="shared" si="2"/>
        <v>2013.76</v>
      </c>
      <c r="H12" s="60">
        <f t="shared" si="2"/>
        <v>5097.33</v>
      </c>
      <c r="I12" s="22" t="s">
        <v>288</v>
      </c>
    </row>
    <row r="13" ht="15.0" customHeight="1">
      <c r="A13" s="1"/>
      <c r="B13" s="24" t="s">
        <v>289</v>
      </c>
      <c r="C13" s="18"/>
      <c r="D13" s="58">
        <f>MAX(0,D12)*DATOS!K49</f>
        <v>0</v>
      </c>
      <c r="E13" s="58">
        <f>MAX(0,E12)*DATOS!K49</f>
        <v>0</v>
      </c>
      <c r="F13" s="58">
        <f>MAX(0,F12)*DATOS!K49</f>
        <v>0</v>
      </c>
      <c r="G13" s="58">
        <f>MAX(0,G12)*DATOS!K49</f>
        <v>422.8896</v>
      </c>
      <c r="H13" s="58">
        <f>MAX(0,H12)*DATOS!K49</f>
        <v>1070.4393</v>
      </c>
      <c r="I13" s="22" t="s">
        <v>290</v>
      </c>
    </row>
    <row r="14" ht="15.0" customHeight="1">
      <c r="A14" s="1"/>
      <c r="B14" s="61" t="s">
        <v>291</v>
      </c>
      <c r="C14" s="18"/>
      <c r="D14" s="62">
        <f t="shared" ref="D14:H14" si="3">D12-D13</f>
        <v>-7000</v>
      </c>
      <c r="E14" s="62">
        <f t="shared" si="3"/>
        <v>-4882.5</v>
      </c>
      <c r="F14" s="62">
        <f t="shared" si="3"/>
        <v>-1736</v>
      </c>
      <c r="G14" s="62">
        <f t="shared" si="3"/>
        <v>1590.8704</v>
      </c>
      <c r="H14" s="62">
        <f t="shared" si="3"/>
        <v>4026.8907</v>
      </c>
      <c r="I14" s="22"/>
    </row>
    <row r="15">
      <c r="A15" s="1"/>
      <c r="B15" s="1"/>
      <c r="C15" s="1"/>
      <c r="D15" s="1"/>
      <c r="E15" s="1"/>
      <c r="F15" s="1"/>
      <c r="G15" s="1"/>
      <c r="H15" s="1"/>
      <c r="I15" s="1"/>
    </row>
    <row r="16" ht="15.0" customHeight="1">
      <c r="A16" s="1"/>
      <c r="B16" s="56" t="s">
        <v>292</v>
      </c>
      <c r="C16" s="57"/>
      <c r="D16" s="57"/>
      <c r="E16" s="57"/>
      <c r="F16" s="57"/>
      <c r="G16" s="57"/>
      <c r="H16" s="57"/>
      <c r="I16" s="57"/>
    </row>
    <row r="17" ht="15.0" customHeight="1">
      <c r="A17" s="1"/>
      <c r="B17" s="24" t="s">
        <v>293</v>
      </c>
      <c r="C17" s="27">
        <f>DATOS!K21</f>
        <v>3900</v>
      </c>
      <c r="D17" s="58">
        <f t="shared" ref="D17:H17" si="4">D39</f>
        <v>1000</v>
      </c>
      <c r="E17" s="58">
        <f t="shared" si="4"/>
        <v>1000</v>
      </c>
      <c r="F17" s="58">
        <f t="shared" si="4"/>
        <v>1000</v>
      </c>
      <c r="G17" s="58">
        <f t="shared" si="4"/>
        <v>1306.2304</v>
      </c>
      <c r="H17" s="58">
        <f t="shared" si="4"/>
        <v>3772.4571</v>
      </c>
      <c r="I17" s="22" t="s">
        <v>297</v>
      </c>
    </row>
    <row r="18" ht="15.0" customHeight="1">
      <c r="A18" s="1"/>
      <c r="B18" s="24" t="s">
        <v>40</v>
      </c>
      <c r="C18" s="27">
        <f>DATOS!K22</f>
        <v>900</v>
      </c>
      <c r="D18" s="58">
        <f>D8*(DATOS!K22/DATOS!$K$62)</f>
        <v>1260</v>
      </c>
      <c r="E18" s="58">
        <f>E8*(DATOS!K22/DATOS!$K$62)</f>
        <v>1953</v>
      </c>
      <c r="F18" s="58">
        <f>F8*(DATOS!K22/DATOS!$K$62)</f>
        <v>3124.8</v>
      </c>
      <c r="G18" s="58">
        <f>G8*(DATOS!K22/DATOS!$K$62)</f>
        <v>4530.96</v>
      </c>
      <c r="H18" s="58">
        <f>H8*(DATOS!K22/DATOS!$K$62)</f>
        <v>6116.796</v>
      </c>
      <c r="I18" s="22" t="s">
        <v>301</v>
      </c>
    </row>
    <row r="19" ht="15.0" customHeight="1">
      <c r="A19" s="1"/>
      <c r="B19" s="24" t="s">
        <v>47</v>
      </c>
      <c r="C19" s="27">
        <f>DATOS!K23</f>
        <v>400</v>
      </c>
      <c r="D19" s="58">
        <f>D8*(DATOS!K23/DATOS!$K$62)</f>
        <v>560</v>
      </c>
      <c r="E19" s="58">
        <f>E8*(DATOS!K23/DATOS!$K$62)</f>
        <v>868</v>
      </c>
      <c r="F19" s="58">
        <f>F8*(DATOS!K23/DATOS!$K$62)</f>
        <v>1388.8</v>
      </c>
      <c r="G19" s="58">
        <f>G8*(DATOS!K23/DATOS!$K$62)</f>
        <v>2013.76</v>
      </c>
      <c r="H19" s="58">
        <f>H8*(DATOS!K23/DATOS!$K$62)</f>
        <v>2718.576</v>
      </c>
      <c r="I19" s="22" t="s">
        <v>305</v>
      </c>
    </row>
    <row r="20" ht="15.0" customHeight="1">
      <c r="A20" s="1"/>
      <c r="B20" s="24" t="s">
        <v>306</v>
      </c>
      <c r="C20" s="27">
        <f>DATOS!K25</f>
        <v>2500</v>
      </c>
      <c r="D20" s="58">
        <f>C20+D8*DATOS!$K$75-D8*DATOS!$K$74</f>
        <v>2640</v>
      </c>
      <c r="E20" s="58">
        <f>D20+E8*DATOS!$K$75-E8*DATOS!$K$74</f>
        <v>2857</v>
      </c>
      <c r="F20" s="58">
        <f>E20+F8*DATOS!$K$75-F8*DATOS!$K$74</f>
        <v>3204.2</v>
      </c>
      <c r="G20" s="58">
        <f>F20+G8*DATOS!$K$75-G8*DATOS!$K$74</f>
        <v>3707.64</v>
      </c>
      <c r="H20" s="58">
        <f>G20+H8*DATOS!$K$75-H8*DATOS!$K$74</f>
        <v>4387.284</v>
      </c>
      <c r="I20" s="22" t="s">
        <v>311</v>
      </c>
    </row>
    <row r="21" ht="15.0" customHeight="1">
      <c r="A21" s="1"/>
      <c r="B21" s="24" t="s">
        <v>313</v>
      </c>
      <c r="C21" s="27">
        <f>DATOS!K26-DATOS!K21-DATOS!K22-DATOS!K23-DATOS!K25</f>
        <v>300</v>
      </c>
      <c r="D21" s="58">
        <f t="shared" ref="D21:H21" si="5">C21</f>
        <v>300</v>
      </c>
      <c r="E21" s="58">
        <f t="shared" si="5"/>
        <v>300</v>
      </c>
      <c r="F21" s="58">
        <f t="shared" si="5"/>
        <v>300</v>
      </c>
      <c r="G21" s="58">
        <f t="shared" si="5"/>
        <v>300</v>
      </c>
      <c r="H21" s="58">
        <f t="shared" si="5"/>
        <v>300</v>
      </c>
      <c r="I21" s="22" t="s">
        <v>314</v>
      </c>
    </row>
    <row r="22" ht="15.0" customHeight="1">
      <c r="A22" s="1"/>
      <c r="B22" s="11" t="s">
        <v>63</v>
      </c>
      <c r="C22" s="60">
        <f t="shared" ref="C22:H22" si="6">C17+C18+C19+C20+C21</f>
        <v>8000</v>
      </c>
      <c r="D22" s="60">
        <f t="shared" si="6"/>
        <v>5760</v>
      </c>
      <c r="E22" s="60">
        <f t="shared" si="6"/>
        <v>6978</v>
      </c>
      <c r="F22" s="60">
        <f t="shared" si="6"/>
        <v>9017.8</v>
      </c>
      <c r="G22" s="60">
        <f t="shared" si="6"/>
        <v>11858.5904</v>
      </c>
      <c r="H22" s="60">
        <f t="shared" si="6"/>
        <v>17295.1131</v>
      </c>
      <c r="I22" s="22"/>
    </row>
    <row r="23" ht="15.0" customHeight="1">
      <c r="A23" s="1"/>
      <c r="B23" s="24" t="s">
        <v>317</v>
      </c>
      <c r="C23" s="27">
        <f>DATOS!K29-DATOS!K32</f>
        <v>2500</v>
      </c>
      <c r="D23" s="58">
        <f>D8*((DATOS!K29-DATOS!K32)/DATOS!$K$62)</f>
        <v>3500</v>
      </c>
      <c r="E23" s="58">
        <f>E8*((DATOS!K29-DATOS!K32)/DATOS!$K$62)</f>
        <v>5425</v>
      </c>
      <c r="F23" s="58">
        <f>F8*((DATOS!K29-DATOS!K32)/DATOS!$K$62)</f>
        <v>8680</v>
      </c>
      <c r="G23" s="58">
        <f>G8*((DATOS!K29-DATOS!K32)/DATOS!$K$62)</f>
        <v>12586</v>
      </c>
      <c r="H23" s="58">
        <f>H8*((DATOS!K29-DATOS!K32)/DATOS!$K$62)</f>
        <v>16991.1</v>
      </c>
      <c r="I23" s="22" t="s">
        <v>324</v>
      </c>
    </row>
    <row r="24" ht="18.75" customHeight="1">
      <c r="A24" s="1"/>
      <c r="B24" s="24" t="s">
        <v>326</v>
      </c>
      <c r="C24" s="27">
        <f>DATOS!K32</f>
        <v>2500</v>
      </c>
      <c r="D24" s="58">
        <f t="shared" ref="D24:H24" si="7">D22-D23-D26</f>
        <v>6260</v>
      </c>
      <c r="E24" s="58">
        <f t="shared" si="7"/>
        <v>10435.5</v>
      </c>
      <c r="F24" s="58">
        <f t="shared" si="7"/>
        <v>10956.3</v>
      </c>
      <c r="G24" s="58">
        <f t="shared" si="7"/>
        <v>8300.22</v>
      </c>
      <c r="H24" s="58">
        <f t="shared" si="7"/>
        <v>5304.752</v>
      </c>
      <c r="I24" s="22" t="s">
        <v>329</v>
      </c>
    </row>
    <row r="25" ht="15.0" customHeight="1">
      <c r="A25" s="1"/>
      <c r="B25" s="11" t="s">
        <v>90</v>
      </c>
      <c r="C25" s="60">
        <f t="shared" ref="C25:H25" si="8">C23+C24</f>
        <v>5000</v>
      </c>
      <c r="D25" s="60">
        <f t="shared" si="8"/>
        <v>9760</v>
      </c>
      <c r="E25" s="60">
        <f t="shared" si="8"/>
        <v>15860.5</v>
      </c>
      <c r="F25" s="60">
        <f t="shared" si="8"/>
        <v>19636.3</v>
      </c>
      <c r="G25" s="60">
        <f t="shared" si="8"/>
        <v>20886.22</v>
      </c>
      <c r="H25" s="60">
        <f t="shared" si="8"/>
        <v>22295.852</v>
      </c>
      <c r="I25" s="22"/>
    </row>
    <row r="26" ht="15.0" customHeight="1">
      <c r="A26" s="1"/>
      <c r="B26" s="24" t="s">
        <v>99</v>
      </c>
      <c r="C26" s="27">
        <f>DATOS!K31</f>
        <v>3000</v>
      </c>
      <c r="D26" s="58">
        <f t="shared" ref="D26:H26" si="9">C26+D14</f>
        <v>-4000</v>
      </c>
      <c r="E26" s="58">
        <f t="shared" si="9"/>
        <v>-8882.5</v>
      </c>
      <c r="F26" s="58">
        <f t="shared" si="9"/>
        <v>-10618.5</v>
      </c>
      <c r="G26" s="58">
        <f t="shared" si="9"/>
        <v>-9027.6296</v>
      </c>
      <c r="H26" s="58">
        <f t="shared" si="9"/>
        <v>-5000.7389</v>
      </c>
      <c r="I26" s="22" t="s">
        <v>332</v>
      </c>
    </row>
    <row r="27" ht="15.0" customHeight="1">
      <c r="A27" s="1"/>
      <c r="B27" s="11" t="s">
        <v>333</v>
      </c>
      <c r="C27" s="60">
        <f t="shared" ref="C27:H27" si="10">C25+C26</f>
        <v>8000</v>
      </c>
      <c r="D27" s="60">
        <f t="shared" si="10"/>
        <v>5760</v>
      </c>
      <c r="E27" s="60">
        <f t="shared" si="10"/>
        <v>6978</v>
      </c>
      <c r="F27" s="60">
        <f t="shared" si="10"/>
        <v>9017.8</v>
      </c>
      <c r="G27" s="60">
        <f t="shared" si="10"/>
        <v>11858.5904</v>
      </c>
      <c r="H27" s="60">
        <f t="shared" si="10"/>
        <v>17295.1131</v>
      </c>
      <c r="I27" s="22"/>
    </row>
    <row r="28" ht="15.0" customHeight="1">
      <c r="A28" s="1"/>
      <c r="B28" s="72" t="s">
        <v>335</v>
      </c>
      <c r="C28" s="74">
        <f t="shared" ref="C28:H28" si="11">C22-C27</f>
        <v>0</v>
      </c>
      <c r="D28" s="74">
        <f t="shared" si="11"/>
        <v>0</v>
      </c>
      <c r="E28" s="74">
        <f t="shared" si="11"/>
        <v>0</v>
      </c>
      <c r="F28" s="74">
        <f t="shared" si="11"/>
        <v>0</v>
      </c>
      <c r="G28" s="74">
        <f t="shared" si="11"/>
        <v>0</v>
      </c>
      <c r="H28" s="74">
        <f t="shared" si="11"/>
        <v>0</v>
      </c>
      <c r="I28" s="22" t="s">
        <v>338</v>
      </c>
    </row>
    <row r="29" ht="15.75" customHeight="1">
      <c r="A29" s="1"/>
      <c r="B29" s="1"/>
      <c r="C29" s="1"/>
      <c r="D29" s="1"/>
      <c r="E29" s="1"/>
      <c r="F29" s="1"/>
      <c r="G29" s="1"/>
      <c r="H29" s="1"/>
      <c r="I29" s="1"/>
    </row>
    <row r="30" ht="15.0" customHeight="1">
      <c r="A30" s="1"/>
      <c r="B30" s="56" t="s">
        <v>340</v>
      </c>
      <c r="C30" s="57"/>
      <c r="D30" s="57"/>
      <c r="E30" s="57"/>
      <c r="F30" s="57"/>
      <c r="G30" s="57"/>
      <c r="H30" s="57"/>
      <c r="I30" s="57"/>
    </row>
    <row r="31" ht="15.0" customHeight="1">
      <c r="A31" s="1"/>
      <c r="B31" s="24" t="s">
        <v>342</v>
      </c>
      <c r="C31" s="18"/>
      <c r="D31" s="58">
        <f t="shared" ref="D31:H31" si="12">D14</f>
        <v>-7000</v>
      </c>
      <c r="E31" s="58">
        <f t="shared" si="12"/>
        <v>-4882.5</v>
      </c>
      <c r="F31" s="58">
        <f t="shared" si="12"/>
        <v>-1736</v>
      </c>
      <c r="G31" s="58">
        <f t="shared" si="12"/>
        <v>1590.8704</v>
      </c>
      <c r="H31" s="58">
        <f t="shared" si="12"/>
        <v>4026.8907</v>
      </c>
      <c r="I31" s="22" t="s">
        <v>344</v>
      </c>
    </row>
    <row r="32" ht="15.0" customHeight="1">
      <c r="A32" s="1"/>
      <c r="B32" s="24" t="s">
        <v>345</v>
      </c>
      <c r="C32" s="18"/>
      <c r="D32" s="58">
        <f>D8*DATOS!$K$74</f>
        <v>210</v>
      </c>
      <c r="E32" s="58">
        <f>E8*DATOS!$K$74</f>
        <v>325.5</v>
      </c>
      <c r="F32" s="58">
        <f>F8*DATOS!$K$74</f>
        <v>520.8</v>
      </c>
      <c r="G32" s="58">
        <f>G8*DATOS!$K$74</f>
        <v>755.16</v>
      </c>
      <c r="H32" s="58">
        <f>H8*DATOS!$K$74</f>
        <v>1019.466</v>
      </c>
      <c r="I32" s="22" t="s">
        <v>352</v>
      </c>
    </row>
    <row r="33" ht="15.0" customHeight="1">
      <c r="A33" s="1"/>
      <c r="B33" s="24" t="s">
        <v>353</v>
      </c>
      <c r="C33" s="18"/>
      <c r="D33" s="58">
        <f>-(D8-C8)*DATOS!$K$76</f>
        <v>-200</v>
      </c>
      <c r="E33" s="58">
        <f>-(E8-D8)*DATOS!$K$76</f>
        <v>-385</v>
      </c>
      <c r="F33" s="58">
        <f>-(F8-E8)*DATOS!$K$76</f>
        <v>-651</v>
      </c>
      <c r="G33" s="58">
        <f>-(G8-F8)*DATOS!$K$76</f>
        <v>-781.2</v>
      </c>
      <c r="H33" s="58">
        <f>-(H8-G8)*DATOS!$K$76</f>
        <v>-881.02</v>
      </c>
      <c r="I33" s="22" t="s">
        <v>354</v>
      </c>
    </row>
    <row r="34" ht="15.0" customHeight="1">
      <c r="A34" s="1"/>
      <c r="B34" s="11" t="s">
        <v>355</v>
      </c>
      <c r="C34" s="18"/>
      <c r="D34" s="60">
        <f t="shared" ref="D34:H34" si="13">D31+D32+D33</f>
        <v>-6990</v>
      </c>
      <c r="E34" s="60">
        <f t="shared" si="13"/>
        <v>-4942</v>
      </c>
      <c r="F34" s="60">
        <f t="shared" si="13"/>
        <v>-1866.2</v>
      </c>
      <c r="G34" s="60">
        <f t="shared" si="13"/>
        <v>1564.8304</v>
      </c>
      <c r="H34" s="60">
        <f t="shared" si="13"/>
        <v>4165.3367</v>
      </c>
      <c r="I34" s="22"/>
    </row>
    <row r="35" ht="15.0" customHeight="1">
      <c r="A35" s="1"/>
      <c r="B35" s="24" t="s">
        <v>356</v>
      </c>
      <c r="C35" s="18"/>
      <c r="D35" s="58">
        <f>-D8*DATOS!$K$75</f>
        <v>-350</v>
      </c>
      <c r="E35" s="58">
        <f>-E8*DATOS!$K$75</f>
        <v>-542.5</v>
      </c>
      <c r="F35" s="58">
        <f>-F8*DATOS!$K$75</f>
        <v>-868</v>
      </c>
      <c r="G35" s="58">
        <f>-G8*DATOS!$K$75</f>
        <v>-1258.6</v>
      </c>
      <c r="H35" s="58">
        <f>-H8*DATOS!$K$75</f>
        <v>-1699.11</v>
      </c>
      <c r="I35" s="22" t="s">
        <v>357</v>
      </c>
    </row>
    <row r="36" ht="18.75" customHeight="1">
      <c r="A36" s="1"/>
      <c r="B36" s="61" t="s">
        <v>358</v>
      </c>
      <c r="C36" s="18"/>
      <c r="D36" s="62">
        <f t="shared" ref="D36:H36" si="14">D34+D35</f>
        <v>-7340</v>
      </c>
      <c r="E36" s="62">
        <f t="shared" si="14"/>
        <v>-5484.5</v>
      </c>
      <c r="F36" s="62">
        <f t="shared" si="14"/>
        <v>-2734.2</v>
      </c>
      <c r="G36" s="62">
        <f t="shared" si="14"/>
        <v>306.2304</v>
      </c>
      <c r="H36" s="62">
        <f t="shared" si="14"/>
        <v>2466.2267</v>
      </c>
      <c r="I36" s="22" t="s">
        <v>359</v>
      </c>
    </row>
    <row r="37" ht="15.0" customHeight="1">
      <c r="A37" s="1"/>
      <c r="B37" s="24" t="s">
        <v>360</v>
      </c>
      <c r="C37" s="18"/>
      <c r="D37" s="58">
        <f>DATOS!K21</f>
        <v>3900</v>
      </c>
      <c r="E37" s="58">
        <f t="shared" ref="E37:H37" si="15">D39</f>
        <v>1000</v>
      </c>
      <c r="F37" s="58">
        <f t="shared" si="15"/>
        <v>1000</v>
      </c>
      <c r="G37" s="58">
        <f t="shared" si="15"/>
        <v>1000</v>
      </c>
      <c r="H37" s="58">
        <f t="shared" si="15"/>
        <v>1306.2304</v>
      </c>
      <c r="I37" s="22"/>
    </row>
    <row r="38" ht="18.75" customHeight="1">
      <c r="A38" s="1"/>
      <c r="B38" s="24" t="s">
        <v>362</v>
      </c>
      <c r="C38" s="18"/>
      <c r="D38" s="58">
        <f>MAX(0,DATOS!$K$77-(D37+D36))</f>
        <v>4440</v>
      </c>
      <c r="E38" s="58">
        <f>MAX(0,DATOS!$K$77-(E37+E36))</f>
        <v>5484.5</v>
      </c>
      <c r="F38" s="58">
        <f>MAX(0,DATOS!$K$77-(F37+F36))</f>
        <v>2734.2</v>
      </c>
      <c r="G38" s="58">
        <f>MAX(0,DATOS!$K$77-(G37+G36))</f>
        <v>0</v>
      </c>
      <c r="H38" s="58">
        <f>MAX(0,DATOS!$K$77-(H37+H36))</f>
        <v>0</v>
      </c>
      <c r="I38" s="22" t="s">
        <v>365</v>
      </c>
    </row>
    <row r="39" ht="15.0" customHeight="1">
      <c r="A39" s="1"/>
      <c r="B39" s="61" t="s">
        <v>368</v>
      </c>
      <c r="C39" s="18"/>
      <c r="D39" s="62">
        <f t="shared" ref="D39:H39" si="16">D37+D36+D38</f>
        <v>1000</v>
      </c>
      <c r="E39" s="62">
        <f t="shared" si="16"/>
        <v>1000</v>
      </c>
      <c r="F39" s="62">
        <f t="shared" si="16"/>
        <v>1000</v>
      </c>
      <c r="G39" s="62">
        <f t="shared" si="16"/>
        <v>1306.2304</v>
      </c>
      <c r="H39" s="62">
        <f t="shared" si="16"/>
        <v>3772.4571</v>
      </c>
      <c r="I39" s="22" t="s">
        <v>369</v>
      </c>
    </row>
    <row r="40" ht="15.75" customHeight="1">
      <c r="A40" s="1"/>
      <c r="B40" s="1"/>
      <c r="C40" s="1"/>
      <c r="D40" s="1"/>
      <c r="E40" s="1"/>
      <c r="F40" s="1"/>
      <c r="G40" s="1"/>
      <c r="H40" s="1"/>
      <c r="I40" s="1"/>
    </row>
    <row r="41" ht="87.75" customHeight="1">
      <c r="A41" s="1"/>
      <c r="B41" s="51" t="s">
        <v>370</v>
      </c>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I2"/>
    <mergeCell ref="B3:I3"/>
    <mergeCell ref="B41:I4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2.0"/>
    <col customWidth="1" min="3" max="3" width="15.0"/>
    <col customWidth="1" min="4" max="4" width="13.0"/>
    <col customWidth="1" min="5" max="5" width="46.0"/>
    <col customWidth="1" min="6" max="26" width="8.71"/>
  </cols>
  <sheetData>
    <row r="1">
      <c r="A1" s="1"/>
      <c r="B1" s="1"/>
      <c r="C1" s="1"/>
      <c r="D1" s="1"/>
      <c r="E1" s="1"/>
    </row>
    <row r="2" ht="24.0" customHeight="1">
      <c r="A2" s="1"/>
      <c r="B2" s="55" t="s">
        <v>294</v>
      </c>
      <c r="C2" s="4"/>
      <c r="D2" s="4"/>
      <c r="E2" s="5"/>
    </row>
    <row r="3" ht="25.5" customHeight="1">
      <c r="A3" s="1"/>
      <c r="B3" s="6" t="s">
        <v>295</v>
      </c>
    </row>
    <row r="4">
      <c r="A4" s="1"/>
      <c r="B4" s="1"/>
      <c r="C4" s="1"/>
      <c r="D4" s="1"/>
      <c r="E4" s="1"/>
    </row>
    <row r="5" ht="15.0" customHeight="1">
      <c r="A5" s="1"/>
      <c r="B5" s="56" t="s">
        <v>296</v>
      </c>
      <c r="C5" s="57"/>
      <c r="D5" s="57"/>
      <c r="E5" s="57"/>
    </row>
    <row r="6" ht="15.0" customHeight="1">
      <c r="A6" s="1"/>
      <c r="B6" s="63" t="s">
        <v>298</v>
      </c>
      <c r="C6" s="64" t="s">
        <v>299</v>
      </c>
      <c r="D6" s="9"/>
      <c r="E6" s="63" t="s">
        <v>300</v>
      </c>
    </row>
    <row r="7" ht="15.0" customHeight="1">
      <c r="A7" s="1"/>
      <c r="B7" s="24" t="s">
        <v>180</v>
      </c>
      <c r="C7" s="65">
        <f>DATOS!K41*1000</f>
        <v>25000</v>
      </c>
      <c r="D7" s="1"/>
      <c r="E7" s="22" t="s">
        <v>302</v>
      </c>
    </row>
    <row r="8" ht="15.0" customHeight="1">
      <c r="A8" s="1"/>
      <c r="B8" s="24" t="s">
        <v>182</v>
      </c>
      <c r="C8" s="65">
        <f>DATOS!K42*1000</f>
        <v>20000</v>
      </c>
      <c r="D8" s="1"/>
      <c r="E8" s="22" t="s">
        <v>303</v>
      </c>
    </row>
    <row r="9" ht="15.0" customHeight="1">
      <c r="A9" s="1"/>
      <c r="B9" s="24" t="s">
        <v>185</v>
      </c>
      <c r="C9" s="65">
        <f>DATOS!K43*1000</f>
        <v>15000</v>
      </c>
      <c r="D9" s="1"/>
      <c r="E9" s="22" t="s">
        <v>304</v>
      </c>
    </row>
    <row r="10" ht="15.0" customHeight="1">
      <c r="A10" s="1"/>
      <c r="B10" s="24" t="s">
        <v>187</v>
      </c>
      <c r="C10" s="65">
        <f>DATOS!K44*1000</f>
        <v>8000</v>
      </c>
      <c r="D10" s="1"/>
      <c r="E10" s="22" t="s">
        <v>307</v>
      </c>
    </row>
    <row r="11" ht="15.0" customHeight="1">
      <c r="A11" s="1"/>
      <c r="B11" s="24" t="s">
        <v>308</v>
      </c>
      <c r="C11" s="27">
        <f>DATOS!K21-DATOS!K32</f>
        <v>1400</v>
      </c>
      <c r="D11" s="1"/>
      <c r="E11" s="22" t="s">
        <v>309</v>
      </c>
    </row>
    <row r="12" ht="15.0" customHeight="1">
      <c r="A12" s="1"/>
      <c r="B12" s="11" t="s">
        <v>310</v>
      </c>
      <c r="C12" s="62">
        <f>SUM(C7:C10)+C11</f>
        <v>69400</v>
      </c>
      <c r="D12" s="1"/>
      <c r="E12" s="1"/>
    </row>
    <row r="13" ht="15.0" customHeight="1">
      <c r="A13" s="1"/>
      <c r="B13" s="11" t="s">
        <v>312</v>
      </c>
      <c r="C13" s="66">
        <f>C12/1000/DATOS!K19</f>
        <v>0.1826315789</v>
      </c>
      <c r="D13" s="1"/>
      <c r="E13" s="1"/>
    </row>
    <row r="14">
      <c r="A14" s="1"/>
      <c r="B14" s="1"/>
      <c r="C14" s="1"/>
      <c r="D14" s="1"/>
      <c r="E14" s="1"/>
    </row>
    <row r="15" ht="15.0" customHeight="1">
      <c r="A15" s="1"/>
      <c r="B15" s="56" t="s">
        <v>315</v>
      </c>
      <c r="C15" s="57"/>
      <c r="D15" s="57"/>
      <c r="E15" s="57"/>
    </row>
    <row r="16" ht="15.0" customHeight="1">
      <c r="A16" s="1"/>
      <c r="B16" s="24" t="s">
        <v>316</v>
      </c>
      <c r="C16" s="67">
        <f>DATOS!K46</f>
        <v>0.043</v>
      </c>
      <c r="D16" s="18"/>
      <c r="E16" s="22" t="s">
        <v>318</v>
      </c>
    </row>
    <row r="17" ht="15.0" customHeight="1">
      <c r="A17" s="1"/>
      <c r="B17" s="24" t="s">
        <v>319</v>
      </c>
      <c r="C17" s="67">
        <f>DATOS!K47</f>
        <v>0.055</v>
      </c>
      <c r="D17" s="18"/>
      <c r="E17" s="22" t="s">
        <v>318</v>
      </c>
    </row>
    <row r="18" ht="15.0" customHeight="1">
      <c r="A18" s="1"/>
      <c r="B18" s="24" t="s">
        <v>320</v>
      </c>
      <c r="C18" s="68">
        <f>DATOS!K48</f>
        <v>1.8</v>
      </c>
      <c r="D18" s="18"/>
      <c r="E18" s="22" t="s">
        <v>321</v>
      </c>
    </row>
    <row r="19" ht="15.0" customHeight="1">
      <c r="A19" s="1"/>
      <c r="B19" s="24" t="s">
        <v>322</v>
      </c>
      <c r="C19" s="69">
        <f>DATOS!K37*DATOS!K19*1000</f>
        <v>41800</v>
      </c>
      <c r="D19" s="1"/>
      <c r="E19" s="22" t="s">
        <v>323</v>
      </c>
    </row>
    <row r="20" ht="15.0" customHeight="1">
      <c r="A20" s="1"/>
      <c r="B20" s="24" t="s">
        <v>325</v>
      </c>
      <c r="C20" s="70">
        <f>MAX(DATOS!K32,1)</f>
        <v>2500</v>
      </c>
      <c r="D20" s="1"/>
      <c r="E20" s="22" t="s">
        <v>327</v>
      </c>
    </row>
    <row r="21" ht="15.0" customHeight="1">
      <c r="A21" s="1"/>
      <c r="B21" s="24" t="s">
        <v>328</v>
      </c>
      <c r="C21" s="44">
        <f>C20/(C20+C19)</f>
        <v>0.05643340858</v>
      </c>
      <c r="D21" s="18"/>
      <c r="E21" s="22"/>
    </row>
    <row r="22" ht="15.0" customHeight="1">
      <c r="A22" s="1"/>
      <c r="B22" s="24" t="s">
        <v>330</v>
      </c>
      <c r="C22" s="44">
        <f>C19/(C20+C19)</f>
        <v>0.9435665914</v>
      </c>
      <c r="D22" s="18"/>
      <c r="E22" s="22"/>
    </row>
    <row r="23" ht="15.0" customHeight="1">
      <c r="A23" s="1"/>
      <c r="B23" s="24" t="s">
        <v>331</v>
      </c>
      <c r="C23" s="71">
        <f>DATOS!K49</f>
        <v>0.21</v>
      </c>
      <c r="D23" s="18"/>
      <c r="E23" s="22"/>
    </row>
    <row r="24" ht="15.0" customHeight="1">
      <c r="A24" s="1"/>
      <c r="B24" s="24" t="s">
        <v>334</v>
      </c>
      <c r="C24" s="73">
        <f>C18*(1+(1-C23)*C20/C19)</f>
        <v>1.885047847</v>
      </c>
      <c r="D24" s="18"/>
      <c r="E24" s="22" t="s">
        <v>336</v>
      </c>
    </row>
    <row r="25" ht="15.0" customHeight="1">
      <c r="A25" s="1"/>
      <c r="B25" s="24" t="s">
        <v>337</v>
      </c>
      <c r="C25" s="75">
        <f>C16+C24*C17</f>
        <v>0.1466776316</v>
      </c>
      <c r="D25" s="18"/>
      <c r="E25" s="22" t="s">
        <v>339</v>
      </c>
    </row>
    <row r="26" ht="15.0" customHeight="1">
      <c r="A26" s="1"/>
      <c r="B26" s="24" t="s">
        <v>341</v>
      </c>
      <c r="C26" s="67">
        <f>DATOS!K50</f>
        <v>0.1</v>
      </c>
      <c r="D26" s="18"/>
      <c r="E26" s="22"/>
    </row>
    <row r="27" ht="15.0" customHeight="1">
      <c r="A27" s="1"/>
      <c r="B27" s="11" t="s">
        <v>343</v>
      </c>
      <c r="C27" s="76">
        <f>C22*C25+C21*C26*(1-C23)</f>
        <v>0.1428583521</v>
      </c>
      <c r="D27" s="18"/>
      <c r="E27" s="22" t="s">
        <v>346</v>
      </c>
    </row>
    <row r="28" ht="15.75" customHeight="1">
      <c r="A28" s="1"/>
      <c r="B28" s="1"/>
      <c r="C28" s="1"/>
      <c r="D28" s="1"/>
      <c r="E28" s="1"/>
    </row>
    <row r="29" ht="15.0" customHeight="1">
      <c r="A29" s="1"/>
      <c r="B29" s="56" t="s">
        <v>347</v>
      </c>
      <c r="C29" s="57"/>
      <c r="D29" s="57"/>
      <c r="E29" s="57"/>
    </row>
    <row r="30" ht="15.0" customHeight="1">
      <c r="A30" s="1"/>
      <c r="B30" s="64" t="s">
        <v>348</v>
      </c>
      <c r="C30" s="64" t="s">
        <v>349</v>
      </c>
      <c r="D30" s="64" t="s">
        <v>350</v>
      </c>
      <c r="E30" s="77" t="s">
        <v>351</v>
      </c>
    </row>
    <row r="31" ht="15.0" customHeight="1">
      <c r="A31" s="1"/>
      <c r="B31" s="78">
        <v>1.0</v>
      </c>
      <c r="C31" s="27">
        <f>Proyecciones!D36</f>
        <v>-7340</v>
      </c>
      <c r="D31" s="58">
        <f>C31/(1+C27)^1</f>
        <v>-6422.493204</v>
      </c>
      <c r="E31" s="18"/>
    </row>
    <row r="32" ht="15.0" customHeight="1">
      <c r="A32" s="1"/>
      <c r="B32" s="78">
        <v>2.0</v>
      </c>
      <c r="C32" s="27">
        <f>Proyecciones!E36</f>
        <v>-5484.5</v>
      </c>
      <c r="D32" s="58">
        <f>C32/(1+C27)^2</f>
        <v>-4199.061426</v>
      </c>
      <c r="E32" s="18"/>
    </row>
    <row r="33" ht="15.0" customHeight="1">
      <c r="A33" s="1"/>
      <c r="B33" s="78">
        <v>3.0</v>
      </c>
      <c r="C33" s="27">
        <f>Proyecciones!F36</f>
        <v>-2734.2</v>
      </c>
      <c r="D33" s="58">
        <f>C33/(1+C27)^3</f>
        <v>-1831.694576</v>
      </c>
      <c r="E33" s="18"/>
    </row>
    <row r="34" ht="15.0" customHeight="1">
      <c r="A34" s="1"/>
      <c r="B34" s="78">
        <v>4.0</v>
      </c>
      <c r="C34" s="27">
        <f>Proyecciones!G36</f>
        <v>306.2304</v>
      </c>
      <c r="D34" s="58">
        <f>C34/(1+C27)^4</f>
        <v>179.5058785</v>
      </c>
      <c r="E34" s="18"/>
    </row>
    <row r="35" ht="15.0" customHeight="1">
      <c r="A35" s="1"/>
      <c r="B35" s="78">
        <v>5.0</v>
      </c>
      <c r="C35" s="27">
        <f>Proyecciones!H36</f>
        <v>2466.2267</v>
      </c>
      <c r="D35" s="58">
        <f>C35/(1+C27)^5</f>
        <v>1264.943019</v>
      </c>
      <c r="E35" s="18"/>
    </row>
    <row r="36" ht="15.0" customHeight="1">
      <c r="A36" s="1"/>
      <c r="B36" s="24" t="s">
        <v>361</v>
      </c>
      <c r="C36" s="58">
        <f>Proyecciones!H8*DATOS!K51*(1-DATOS!K49)</f>
        <v>4026.8907</v>
      </c>
      <c r="D36" s="1"/>
      <c r="E36" s="22" t="s">
        <v>363</v>
      </c>
    </row>
    <row r="37" ht="15.0" customHeight="1">
      <c r="A37" s="1"/>
      <c r="B37" s="24" t="s">
        <v>364</v>
      </c>
      <c r="C37" s="58">
        <f>C36*(1.03)/(C27-0.03)</f>
        <v>36751.3555</v>
      </c>
      <c r="D37" s="58">
        <f>C37/(1+C27)^5</f>
        <v>18849.9989</v>
      </c>
      <c r="E37" s="22" t="s">
        <v>366</v>
      </c>
    </row>
    <row r="38" ht="15.0" customHeight="1">
      <c r="A38" s="1"/>
      <c r="B38" s="11" t="s">
        <v>367</v>
      </c>
      <c r="C38" s="60">
        <f>SUM(D31:D35)+D37+DATOS!K21-DATOS!K32</f>
        <v>9241.198593</v>
      </c>
      <c r="D38" s="1"/>
      <c r="E38" s="1"/>
    </row>
    <row r="39" ht="15.0" customHeight="1">
      <c r="A39" s="1"/>
      <c r="B39" s="11" t="s">
        <v>371</v>
      </c>
      <c r="C39" s="66">
        <f>C38/1000/DATOS!K19</f>
        <v>0.02431894367</v>
      </c>
      <c r="D39" s="1"/>
      <c r="E39" s="1"/>
    </row>
    <row r="40" ht="15.75" customHeight="1">
      <c r="A40" s="1"/>
      <c r="B40" s="1"/>
      <c r="C40" s="1"/>
      <c r="D40" s="1"/>
      <c r="E40" s="1"/>
    </row>
    <row r="41" ht="15.0" customHeight="1">
      <c r="A41" s="1"/>
      <c r="B41" s="56" t="s">
        <v>372</v>
      </c>
      <c r="C41" s="57"/>
      <c r="D41" s="57"/>
      <c r="E41" s="57"/>
    </row>
    <row r="42" ht="15.0" customHeight="1">
      <c r="A42" s="1"/>
      <c r="B42" s="11" t="s">
        <v>373</v>
      </c>
      <c r="C42" s="79">
        <f>C13</f>
        <v>0.1826315789</v>
      </c>
      <c r="D42" s="1"/>
      <c r="E42" s="22" t="s">
        <v>374</v>
      </c>
    </row>
    <row r="43" ht="15.0" customHeight="1">
      <c r="A43" s="1"/>
      <c r="B43" s="11" t="s">
        <v>375</v>
      </c>
      <c r="C43" s="79">
        <f>C39</f>
        <v>0.02431894367</v>
      </c>
      <c r="D43" s="1"/>
      <c r="E43" s="22" t="s">
        <v>376</v>
      </c>
    </row>
    <row r="44" ht="15.0" customHeight="1">
      <c r="A44" s="1"/>
      <c r="B44" s="11" t="s">
        <v>377</v>
      </c>
      <c r="C44" s="80">
        <f>DATOS!K37</f>
        <v>0.11</v>
      </c>
      <c r="D44" s="1"/>
      <c r="E44" s="1"/>
    </row>
    <row r="45" ht="15.0" customHeight="1">
      <c r="A45" s="1"/>
      <c r="B45" s="11" t="s">
        <v>378</v>
      </c>
      <c r="C45" s="81">
        <f>C13/DATOS!K37-1</f>
        <v>0.6602870813</v>
      </c>
      <c r="D45" s="81">
        <f>C39/DATOS!K37-1</f>
        <v>-0.778918694</v>
      </c>
      <c r="E45" s="22" t="s">
        <v>379</v>
      </c>
    </row>
    <row r="46" ht="15.75" customHeight="1">
      <c r="A46" s="1"/>
      <c r="B46" s="1"/>
      <c r="C46" s="1"/>
      <c r="D46" s="1"/>
      <c r="E46" s="1"/>
    </row>
    <row r="47" ht="87.75" customHeight="1">
      <c r="A47" s="1"/>
      <c r="B47" s="47" t="s">
        <v>380</v>
      </c>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47:E47"/>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6.0"/>
    <col customWidth="1" min="3" max="7" width="12.0"/>
    <col customWidth="1" min="8" max="26" width="8.71"/>
  </cols>
  <sheetData>
    <row r="1">
      <c r="A1" s="1"/>
      <c r="B1" s="1"/>
      <c r="C1" s="1"/>
      <c r="D1" s="1"/>
      <c r="E1" s="1"/>
      <c r="F1" s="1"/>
      <c r="G1" s="1"/>
    </row>
    <row r="2" ht="24.0" customHeight="1">
      <c r="A2" s="1"/>
      <c r="B2" s="55" t="s">
        <v>381</v>
      </c>
      <c r="C2" s="4"/>
      <c r="D2" s="4"/>
      <c r="E2" s="4"/>
      <c r="F2" s="4"/>
      <c r="G2" s="5"/>
    </row>
    <row r="3" ht="25.5" customHeight="1">
      <c r="A3" s="1"/>
      <c r="B3" s="6" t="s">
        <v>382</v>
      </c>
    </row>
    <row r="4">
      <c r="A4" s="1"/>
      <c r="B4" s="1"/>
      <c r="C4" s="1"/>
      <c r="D4" s="1"/>
      <c r="E4" s="1"/>
      <c r="F4" s="1"/>
      <c r="G4" s="1"/>
    </row>
    <row r="5" ht="15.0" customHeight="1">
      <c r="A5" s="1"/>
      <c r="B5" s="10" t="s">
        <v>383</v>
      </c>
      <c r="C5" s="82">
        <v>10.0</v>
      </c>
      <c r="D5" s="82">
        <v>20.0</v>
      </c>
      <c r="E5" s="82">
        <v>25.0</v>
      </c>
      <c r="F5" s="82">
        <v>40.0</v>
      </c>
      <c r="G5" s="82">
        <v>60.0</v>
      </c>
    </row>
    <row r="6" ht="15.0" customHeight="1">
      <c r="A6" s="1"/>
      <c r="B6" s="82">
        <v>0.0</v>
      </c>
      <c r="C6" s="83">
        <f>(($B6*1000+C$5*1000+(DATOS!K43+DATOS!K44)*1000+DATOS!K21-DATOS!K32))/1000/DATOS!K19</f>
        <v>0.09052631579</v>
      </c>
      <c r="D6" s="83">
        <f>(($B6*1000+D$5*1000+(DATOS!K43+DATOS!K44)*1000+DATOS!K21-DATOS!K32))/1000/DATOS!K19</f>
        <v>0.1168421053</v>
      </c>
      <c r="E6" s="83">
        <f>(($B6*1000+E$5*1000+(DATOS!K43+DATOS!K44)*1000+DATOS!K21-DATOS!K32))/1000/DATOS!K19</f>
        <v>0.13</v>
      </c>
      <c r="F6" s="83">
        <f>(($B6*1000+F$5*1000+(DATOS!K43+DATOS!K44)*1000+DATOS!K21-DATOS!K32))/1000/DATOS!K19</f>
        <v>0.1694736842</v>
      </c>
      <c r="G6" s="83">
        <f>(($B6*1000+G$5*1000+(DATOS!K43+DATOS!K44)*1000+DATOS!K21-DATOS!K32))/1000/DATOS!K19</f>
        <v>0.2221052632</v>
      </c>
    </row>
    <row r="7" ht="15.0" customHeight="1">
      <c r="A7" s="1"/>
      <c r="B7" s="82">
        <v>10.0</v>
      </c>
      <c r="C7" s="83">
        <f>(($B7*1000+C$5*1000+(DATOS!K43+DATOS!K44)*1000+DATOS!K21-DATOS!K32))/1000/DATOS!K19</f>
        <v>0.1168421053</v>
      </c>
      <c r="D7" s="83">
        <f>(($B7*1000+D$5*1000+(DATOS!K43+DATOS!K44)*1000+DATOS!K21-DATOS!K32))/1000/DATOS!K19</f>
        <v>0.1431578947</v>
      </c>
      <c r="E7" s="83">
        <f>(($B7*1000+E$5*1000+(DATOS!K43+DATOS!K44)*1000+DATOS!K21-DATOS!K32))/1000/DATOS!K19</f>
        <v>0.1563157895</v>
      </c>
      <c r="F7" s="83">
        <f>(($B7*1000+F$5*1000+(DATOS!K43+DATOS!K44)*1000+DATOS!K21-DATOS!K32))/1000/DATOS!K19</f>
        <v>0.1957894737</v>
      </c>
      <c r="G7" s="83">
        <f>(($B7*1000+G$5*1000+(DATOS!K43+DATOS!K44)*1000+DATOS!K21-DATOS!K32))/1000/DATOS!K19</f>
        <v>0.2484210526</v>
      </c>
    </row>
    <row r="8" ht="15.0" customHeight="1">
      <c r="A8" s="1"/>
      <c r="B8" s="82">
        <v>20.0</v>
      </c>
      <c r="C8" s="83">
        <f>(($B8*1000+C$5*1000+(DATOS!K43+DATOS!K44)*1000+DATOS!K21-DATOS!K32))/1000/DATOS!K19</f>
        <v>0.1431578947</v>
      </c>
      <c r="D8" s="83">
        <f>(($B8*1000+D$5*1000+(DATOS!K43+DATOS!K44)*1000+DATOS!K21-DATOS!K32))/1000/DATOS!K19</f>
        <v>0.1694736842</v>
      </c>
      <c r="E8" s="91">
        <f>(($B8*1000+E$5*1000+(DATOS!K43+DATOS!K44)*1000+DATOS!K21-DATOS!K32))/1000/DATOS!K19</f>
        <v>0.1826315789</v>
      </c>
      <c r="F8" s="83">
        <f>(($B8*1000+F$5*1000+(DATOS!K43+DATOS!K44)*1000+DATOS!K21-DATOS!K32))/1000/DATOS!K19</f>
        <v>0.2221052632</v>
      </c>
      <c r="G8" s="83">
        <f>(($B8*1000+G$5*1000+(DATOS!K43+DATOS!K44)*1000+DATOS!K21-DATOS!K32))/1000/DATOS!K19</f>
        <v>0.2747368421</v>
      </c>
    </row>
    <row r="9" ht="15.0" customHeight="1">
      <c r="A9" s="1"/>
      <c r="B9" s="82">
        <v>35.0</v>
      </c>
      <c r="C9" s="83">
        <f>(($B9*1000+C$5*1000+(DATOS!K43+DATOS!K44)*1000+DATOS!K21-DATOS!K32))/1000/DATOS!K19</f>
        <v>0.1826315789</v>
      </c>
      <c r="D9" s="83">
        <f>(($B9*1000+D$5*1000+(DATOS!K43+DATOS!K44)*1000+DATOS!K21-DATOS!K32))/1000/DATOS!K19</f>
        <v>0.2089473684</v>
      </c>
      <c r="E9" s="83">
        <f>(($B9*1000+E$5*1000+(DATOS!K43+DATOS!K44)*1000+DATOS!K21-DATOS!K32))/1000/DATOS!K19</f>
        <v>0.2221052632</v>
      </c>
      <c r="F9" s="83">
        <f>(($B9*1000+F$5*1000+(DATOS!K43+DATOS!K44)*1000+DATOS!K21-DATOS!K32))/1000/DATOS!K19</f>
        <v>0.2615789474</v>
      </c>
      <c r="G9" s="83">
        <f>(($B9*1000+G$5*1000+(DATOS!K43+DATOS!K44)*1000+DATOS!K21-DATOS!K32))/1000/DATOS!K19</f>
        <v>0.3142105263</v>
      </c>
    </row>
    <row r="10" ht="15.0" customHeight="1">
      <c r="A10" s="1"/>
      <c r="B10" s="82">
        <v>60.0</v>
      </c>
      <c r="C10" s="83">
        <f>(($B10*1000+C$5*1000+(DATOS!K43+DATOS!K44)*1000+DATOS!K21-DATOS!K32))/1000/DATOS!K19</f>
        <v>0.2484210526</v>
      </c>
      <c r="D10" s="83">
        <f>(($B10*1000+D$5*1000+(DATOS!K43+DATOS!K44)*1000+DATOS!K21-DATOS!K32))/1000/DATOS!K19</f>
        <v>0.2747368421</v>
      </c>
      <c r="E10" s="83">
        <f>(($B10*1000+E$5*1000+(DATOS!K43+DATOS!K44)*1000+DATOS!K21-DATOS!K32))/1000/DATOS!K19</f>
        <v>0.2878947368</v>
      </c>
      <c r="F10" s="83">
        <f>(($B10*1000+F$5*1000+(DATOS!K43+DATOS!K44)*1000+DATOS!K21-DATOS!K32))/1000/DATOS!K19</f>
        <v>0.3273684211</v>
      </c>
      <c r="G10" s="83">
        <f>(($B10*1000+G$5*1000+(DATOS!K43+DATOS!K44)*1000+DATOS!K21-DATOS!K32))/1000/DATOS!K19</f>
        <v>0.38</v>
      </c>
    </row>
    <row r="11">
      <c r="A11" s="1"/>
      <c r="B11" s="1"/>
      <c r="C11" s="1"/>
      <c r="D11" s="1"/>
      <c r="E11" s="1"/>
      <c r="F11" s="1"/>
      <c r="G11" s="1"/>
    </row>
    <row r="12" ht="15.0" customHeight="1">
      <c r="A12" s="1"/>
      <c r="B12" s="92" t="s">
        <v>418</v>
      </c>
      <c r="C12" s="90">
        <f>DATOS!K37</f>
        <v>0.11</v>
      </c>
      <c r="D12" s="6" t="s">
        <v>419</v>
      </c>
    </row>
    <row r="13">
      <c r="A13" s="1"/>
      <c r="B13" s="1"/>
      <c r="C13" s="1"/>
      <c r="D13" s="1"/>
      <c r="E13" s="1"/>
      <c r="F13" s="1"/>
      <c r="G13" s="1"/>
    </row>
    <row r="14" ht="55.5" customHeight="1">
      <c r="A14" s="1"/>
      <c r="B14" s="51" t="s">
        <v>420</v>
      </c>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7" width="13.0"/>
    <col customWidth="1" min="8" max="8" width="30.0"/>
    <col customWidth="1" min="9" max="26" width="8.71"/>
  </cols>
  <sheetData>
    <row r="1">
      <c r="A1" s="1"/>
      <c r="B1" s="1"/>
      <c r="C1" s="1"/>
      <c r="D1" s="1"/>
      <c r="E1" s="1"/>
      <c r="F1" s="1"/>
      <c r="G1" s="1"/>
      <c r="H1" s="1"/>
    </row>
    <row r="2" ht="24.0" customHeight="1">
      <c r="A2" s="1"/>
      <c r="B2" s="55" t="s">
        <v>384</v>
      </c>
      <c r="C2" s="4"/>
      <c r="D2" s="4"/>
      <c r="E2" s="4"/>
      <c r="F2" s="4"/>
      <c r="G2" s="4"/>
      <c r="H2" s="5"/>
    </row>
    <row r="3" ht="30.0" customHeight="1">
      <c r="A3" s="1"/>
      <c r="B3" s="6" t="s">
        <v>385</v>
      </c>
    </row>
    <row r="4">
      <c r="A4" s="1"/>
      <c r="B4" s="1"/>
      <c r="C4" s="1"/>
      <c r="D4" s="1"/>
      <c r="E4" s="1"/>
      <c r="F4" s="1"/>
      <c r="G4" s="1"/>
      <c r="H4" s="1"/>
    </row>
    <row r="5" ht="15.0" customHeight="1">
      <c r="A5" s="1"/>
      <c r="B5" s="10" t="s">
        <v>386</v>
      </c>
      <c r="C5" s="10" t="s">
        <v>387</v>
      </c>
      <c r="D5" s="10" t="s">
        <v>388</v>
      </c>
      <c r="E5" s="10" t="s">
        <v>389</v>
      </c>
      <c r="F5" s="10" t="s">
        <v>12</v>
      </c>
      <c r="G5" s="1"/>
      <c r="H5" s="1"/>
    </row>
    <row r="6" ht="27.75" customHeight="1">
      <c r="A6" s="1"/>
      <c r="B6" s="24" t="s">
        <v>390</v>
      </c>
      <c r="C6" s="78" t="s">
        <v>391</v>
      </c>
      <c r="D6" s="84">
        <v>3.0</v>
      </c>
      <c r="E6" s="84">
        <v>2.5</v>
      </c>
      <c r="F6" s="22" t="s">
        <v>392</v>
      </c>
      <c r="G6" s="1"/>
      <c r="H6" s="1"/>
    </row>
    <row r="7" ht="36.75" customHeight="1">
      <c r="A7" s="1"/>
      <c r="B7" s="24" t="s">
        <v>393</v>
      </c>
      <c r="C7" s="78" t="s">
        <v>394</v>
      </c>
      <c r="D7" s="84">
        <v>1.5</v>
      </c>
      <c r="E7" s="84">
        <v>2.8</v>
      </c>
      <c r="F7" s="22" t="s">
        <v>395</v>
      </c>
      <c r="G7" s="1"/>
      <c r="H7" s="1"/>
    </row>
    <row r="8" ht="36.75" customHeight="1">
      <c r="A8" s="1"/>
      <c r="B8" s="24" t="s">
        <v>396</v>
      </c>
      <c r="C8" s="78" t="s">
        <v>397</v>
      </c>
      <c r="D8" s="84">
        <v>1.8</v>
      </c>
      <c r="E8" s="84">
        <v>2.0</v>
      </c>
      <c r="F8" s="22" t="s">
        <v>398</v>
      </c>
      <c r="G8" s="1"/>
      <c r="H8" s="1"/>
    </row>
    <row r="9" ht="18.75" customHeight="1">
      <c r="A9" s="1"/>
      <c r="B9" s="24" t="s">
        <v>399</v>
      </c>
      <c r="C9" s="78" t="s">
        <v>400</v>
      </c>
      <c r="D9" s="84">
        <v>3.5</v>
      </c>
      <c r="E9" s="84">
        <v>3.0</v>
      </c>
      <c r="F9" s="22" t="s">
        <v>401</v>
      </c>
      <c r="G9" s="1"/>
      <c r="H9" s="1"/>
    </row>
    <row r="10" ht="45.75" customHeight="1">
      <c r="A10" s="1"/>
      <c r="B10" s="24" t="s">
        <v>402</v>
      </c>
      <c r="C10" s="78" t="s">
        <v>403</v>
      </c>
      <c r="D10" s="85" t="s">
        <v>404</v>
      </c>
      <c r="E10" s="84">
        <v>4.0</v>
      </c>
      <c r="F10" s="22" t="s">
        <v>405</v>
      </c>
      <c r="G10" s="1"/>
      <c r="H10" s="1"/>
    </row>
    <row r="11" ht="15.0" customHeight="1">
      <c r="A11" s="1"/>
      <c r="B11" s="86" t="s">
        <v>406</v>
      </c>
      <c r="C11" s="9"/>
      <c r="D11" s="87">
        <f t="shared" ref="D11:E11" si="1">MEDIAN(D6:D10)</f>
        <v>2.4</v>
      </c>
      <c r="E11" s="87">
        <f t="shared" si="1"/>
        <v>2.8</v>
      </c>
      <c r="F11" s="1"/>
      <c r="G11" s="1"/>
      <c r="H11" s="1"/>
    </row>
    <row r="12">
      <c r="A12" s="1"/>
      <c r="B12" s="1"/>
      <c r="C12" s="1"/>
      <c r="D12" s="1"/>
      <c r="E12" s="1"/>
      <c r="F12" s="1"/>
      <c r="G12" s="1"/>
      <c r="H12" s="1"/>
    </row>
    <row r="13" ht="15.0" customHeight="1">
      <c r="A13" s="1"/>
      <c r="B13" s="7" t="s">
        <v>407</v>
      </c>
      <c r="C13" s="9"/>
      <c r="D13" s="9"/>
      <c r="E13" s="9"/>
      <c r="F13" s="9"/>
      <c r="G13" s="9"/>
      <c r="H13" s="9"/>
    </row>
    <row r="14" ht="15.0" customHeight="1">
      <c r="A14" s="1"/>
      <c r="B14" s="10" t="s">
        <v>408</v>
      </c>
      <c r="C14" s="10" t="s">
        <v>409</v>
      </c>
      <c r="D14" s="10" t="s">
        <v>410</v>
      </c>
      <c r="E14" s="10" t="s">
        <v>411</v>
      </c>
      <c r="F14" s="1"/>
      <c r="G14" s="1"/>
      <c r="H14" s="10" t="s">
        <v>412</v>
      </c>
    </row>
    <row r="15" ht="15.0" customHeight="1">
      <c r="A15" s="1"/>
      <c r="B15" s="24" t="s">
        <v>413</v>
      </c>
      <c r="C15" s="70">
        <f>Proyecciones!F8</f>
        <v>17360</v>
      </c>
      <c r="D15" s="88">
        <f>D11</f>
        <v>2.4</v>
      </c>
      <c r="E15" s="66">
        <f>(Proyecciones!F8*D11+DATOS!K21-DATOS!K32)/1000/DATOS!K19</f>
        <v>0.1133263158</v>
      </c>
      <c r="F15" s="89" t="s">
        <v>414</v>
      </c>
      <c r="G15" s="14"/>
      <c r="H15" s="14"/>
    </row>
    <row r="16" ht="15.0" customHeight="1">
      <c r="A16" s="1"/>
      <c r="B16" s="24" t="s">
        <v>415</v>
      </c>
      <c r="C16" s="70">
        <f>DATOS!K31</f>
        <v>3000</v>
      </c>
      <c r="D16" s="88">
        <f>E11</f>
        <v>2.8</v>
      </c>
      <c r="E16" s="66">
        <f>DATOS!K31*E11/1000/DATOS!K19</f>
        <v>0.02210526316</v>
      </c>
      <c r="F16" s="89" t="s">
        <v>416</v>
      </c>
      <c r="G16" s="14"/>
      <c r="H16" s="14"/>
    </row>
    <row r="17" ht="15.0" customHeight="1">
      <c r="A17" s="1"/>
      <c r="B17" s="11" t="s">
        <v>377</v>
      </c>
      <c r="C17" s="1"/>
      <c r="D17" s="1"/>
      <c r="E17" s="90">
        <f>DATOS!K37</f>
        <v>0.11</v>
      </c>
      <c r="F17" s="1"/>
      <c r="G17" s="1"/>
      <c r="H17" s="1"/>
    </row>
    <row r="18">
      <c r="A18" s="1"/>
      <c r="B18" s="1"/>
      <c r="C18" s="1"/>
      <c r="D18" s="1"/>
      <c r="E18" s="1"/>
      <c r="F18" s="1"/>
      <c r="G18" s="1"/>
      <c r="H18" s="1"/>
    </row>
    <row r="19" ht="75.75" customHeight="1">
      <c r="A19" s="1"/>
      <c r="B19" s="51" t="s">
        <v>417</v>
      </c>
    </row>
    <row r="20">
      <c r="A20" s="1"/>
      <c r="B20" s="1"/>
      <c r="C20" s="1"/>
      <c r="D20" s="1"/>
      <c r="E20" s="1"/>
      <c r="F20" s="1"/>
      <c r="G20" s="1"/>
      <c r="H20" s="1"/>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5">
    <mergeCell ref="B2:H2"/>
    <mergeCell ref="B3:H3"/>
    <mergeCell ref="F15:H15"/>
    <mergeCell ref="F16:H16"/>
    <mergeCell ref="B19:H19"/>
  </mergeCells>
  <printOptions/>
  <pageMargins bottom="1.0" footer="0.0" header="0.0" left="0.75" right="0.75" top="1.0"/>
  <pageSetup paperSize="9" orientation="portrait"/>
  <drawing r:id="rId1"/>
</worksheet>
</file>