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DATOS" sheetId="2" r:id="rId6"/>
    <sheet state="visible" name="Estado Resultados" sheetId="3" r:id="rId7"/>
    <sheet state="visible" name="Balance" sheetId="4" r:id="rId8"/>
    <sheet state="visible" name="Análisis Financiero" sheetId="5" r:id="rId9"/>
    <sheet state="visible" name="Proyecciones" sheetId="6" r:id="rId10"/>
    <sheet state="visible" name="Valoración" sheetId="7" r:id="rId11"/>
    <sheet state="visible" name="Sensibilidad" sheetId="8" r:id="rId12"/>
    <sheet state="visible" name="Comparables" sheetId="9" r:id="rId13"/>
  </sheets>
  <definedNames/>
  <calcPr/>
</workbook>
</file>

<file path=xl/sharedStrings.xml><?xml version="1.0" encoding="utf-8"?>
<sst xmlns="http://schemas.openxmlformats.org/spreadsheetml/2006/main" count="577" uniqueCount="523">
  <si>
    <t>CENTRUS ENERGY (NYSE: LEU) — Resumen Ejecutivo</t>
  </si>
  <si>
    <t>ESTADO DE RESULTADOS — comparación homogénea (jala de DATOS)</t>
  </si>
  <si>
    <t>CENTRUS ENERGY (LEU) — HOJA DE DATOS CRUDOS (SEC 10-K / 10-Q)</t>
  </si>
  <si>
    <t>BALANCE GENERAL — cortes dic23 → dic25 → mar26 → jun26 ($M)</t>
  </si>
  <si>
    <t>Cuatro cortes fiables en el tiempo. Verde = de DATOS. Se omite dic24 salvo patrimonio (no divulgado completo).</t>
  </si>
  <si>
    <t>Fuente única del modelo. Números azules = directo de SEC. Las demás hojas jalan de aquí con fórmulas (sin datos escritos a mano). Para actualizar: edita SOLO esta hoja. Estructura de comparación homogénea: trimestres vs mismo trimestre del año anterior, semestre acumulado, y anuales completos por separado.</t>
  </si>
  <si>
    <t>Modelo profesional (metodología Celsia/Murray). Arquitectura DATOS→fórmulas. Datos SEC 10-K/10-Q hasta Q2 2026 (5-ago-2026).</t>
  </si>
  <si>
    <t>Partida ($M)</t>
  </si>
  <si>
    <t>Se compara cada trimestre con su HOMÓLOGO del año anterior (Q1 vs Q1, Q2 vs Q2), el semestre acumulado (1S), y los anuales. Cada bloque trae su variación %. Verde = de DATOS.</t>
  </si>
  <si>
    <t>ANUALES COMPLETOS</t>
  </si>
  <si>
    <t>CIFRAS CLAVE (jaladas de DATOS)</t>
  </si>
  <si>
    <t>Dic-23</t>
  </si>
  <si>
    <t>ANUALES</t>
  </si>
  <si>
    <t>Dic-25</t>
  </si>
  <si>
    <t>Mar-26</t>
  </si>
  <si>
    <t>Jun-26</t>
  </si>
  <si>
    <t>Comentario</t>
  </si>
  <si>
    <t>ACTIVOS</t>
  </si>
  <si>
    <t>Q1 (25→26)</t>
  </si>
  <si>
    <t>Precio de la acción</t>
  </si>
  <si>
    <t>Q2 (25→26)</t>
  </si>
  <si>
    <t>Caja y equivalentes</t>
  </si>
  <si>
    <t>Concepto ($M)</t>
  </si>
  <si>
    <t>FY23</t>
  </si>
  <si>
    <t>FY24</t>
  </si>
  <si>
    <t>FY25</t>
  </si>
  <si>
    <t>Q1 25</t>
  </si>
  <si>
    <t>Q1 26</t>
  </si>
  <si>
    <t>Δ%</t>
  </si>
  <si>
    <t>Q2 25</t>
  </si>
  <si>
    <t>Q2 26</t>
  </si>
  <si>
    <t>Ingresos SWU</t>
  </si>
  <si>
    <t>~$166 (ago 2026). Editable en DATOS.</t>
  </si>
  <si>
    <t>~$1.9B. Financia toda la expansión.</t>
  </si>
  <si>
    <t>Capitalización de mercado</t>
  </si>
  <si>
    <t>Q1 (homólogo)</t>
  </si>
  <si>
    <t xml:space="preserve">   Cuentas por cobrar</t>
  </si>
  <si>
    <t>Q2 (homólogo)</t>
  </si>
  <si>
    <t>Precio × 19.95M acciones.</t>
  </si>
  <si>
    <t>Ingresos FY2025</t>
  </si>
  <si>
    <t>1S acumulado</t>
  </si>
  <si>
    <t>Año completo.</t>
  </si>
  <si>
    <t>Ingresos 1S 2026</t>
  </si>
  <si>
    <t>Semestre (+11% vs 1S25).</t>
  </si>
  <si>
    <t>Utilidad neta FY2025</t>
  </si>
  <si>
    <t xml:space="preserve">   Inventarios</t>
  </si>
  <si>
    <t>Utilidad neta 1S 2026</t>
  </si>
  <si>
    <t>GAAP −52%: por gastos de expansión.</t>
  </si>
  <si>
    <t>Utilidad ajustada 1S 2026</t>
  </si>
  <si>
    <t>No-GAAP casi plana: núcleo sano.</t>
  </si>
  <si>
    <t>Ingresos Uranio</t>
  </si>
  <si>
    <t>Caja (jun-2026)</t>
  </si>
  <si>
    <t>Colchón: ~$1.9B.</t>
  </si>
  <si>
    <t>Deuda LP (jun-2026)</t>
  </si>
  <si>
    <t>Sube 322.9→377.1: acumulación pre-entregas.</t>
  </si>
  <si>
    <t xml:space="preserve">   Otros activos corrientes</t>
  </si>
  <si>
    <t>Convertibles.</t>
  </si>
  <si>
    <t>Posición neta de caja</t>
  </si>
  <si>
    <t>Caja − deuda. POSITIVA.</t>
  </si>
  <si>
    <t>Backlog (jun-2026)</t>
  </si>
  <si>
    <t>Cartera a 2040. Creció a $4.5B.</t>
  </si>
  <si>
    <t>FY2023</t>
  </si>
  <si>
    <t>VEREDICTO</t>
  </si>
  <si>
    <t>FY2024</t>
  </si>
  <si>
    <t>Tipo de inversión</t>
  </si>
  <si>
    <t>FY2025</t>
  </si>
  <si>
    <t>Total activo corriente</t>
  </si>
  <si>
    <t>Opción estratégica</t>
  </si>
  <si>
    <t>Q1-25</t>
  </si>
  <si>
    <t>Q1-26</t>
  </si>
  <si>
    <t>Q2-25</t>
  </si>
  <si>
    <t>Q2-26</t>
  </si>
  <si>
    <t>1S-25</t>
  </si>
  <si>
    <t>1S-26</t>
  </si>
  <si>
    <t>No es compuesto clásico ni 100-bagger. Apuesta asimétrica sobre el enriquecimiento occidental.</t>
  </si>
  <si>
    <t>Fuente / nota</t>
  </si>
  <si>
    <t>Ingresos Technical Solutions</t>
  </si>
  <si>
    <t>ESTADO DE RESULTADOS</t>
  </si>
  <si>
    <t>Negocio hoy</t>
  </si>
  <si>
    <t>Rentable, pequeño</t>
  </si>
  <si>
    <t>Único enricher cotizado probado; ingresos lumpy; ROIC deprimido por caja ociosa.</t>
  </si>
  <si>
    <t>Balance</t>
  </si>
  <si>
    <t>Fortaleza</t>
  </si>
  <si>
    <t>PP&amp;E neto</t>
  </si>
  <si>
    <t>Posición neta de caja. PP&amp;E saltó 29→142M: la expansión ya es real, no promesa.</t>
  </si>
  <si>
    <t>Resultado 1S 2026</t>
  </si>
  <si>
    <t>Sano en el núcleo</t>
  </si>
  <si>
    <t>GAAP cae por stock-comp + I+D de crecimiento; utilidad AJUSTADA casi plana.</t>
  </si>
  <si>
    <t>Motor de valor</t>
  </si>
  <si>
    <t>29.5→142.5: la expansión ya se ve en el balance.</t>
  </si>
  <si>
    <t>La expansión</t>
  </si>
  <si>
    <t>Convertir ~$1.9B caja + backlog $4.5B en capacidad HALEU/LEU rentable (2029+).</t>
  </si>
  <si>
    <t xml:space="preserve">   Intangibles</t>
  </si>
  <si>
    <t>Valoración</t>
  </si>
  <si>
    <t>Exigente</t>
  </si>
  <si>
    <t>Ver hoja Valoración: DCF del negocio actual queda por debajo del precio. El mercado paga la opción.</t>
  </si>
  <si>
    <t>Riesgo/premio</t>
  </si>
  <si>
    <t>TOTAL ACTIVOS</t>
  </si>
  <si>
    <t>Binario, asimétrico</t>
  </si>
  <si>
    <t>Piso por la caja; techo alto si ejecuta. Dimensiona según convicción.</t>
  </si>
  <si>
    <t>INGRESOS TOTALES</t>
  </si>
  <si>
    <t>GUÍA DE HOJAS: DATOS (fuente+drivers) · Estado Resultados · Balance · Análisis Financiero · Proyecciones (3 estados enlazados) · Valoración (DCF real) · Sensibilidad (WACC×g) · Comparables.</t>
  </si>
  <si>
    <t>DATOS</t>
  </si>
  <si>
    <t>PASIVOS</t>
  </si>
  <si>
    <t>Fuente única. Números crudos SEC. Edita aquí para actualizar todo.</t>
  </si>
  <si>
    <t xml:space="preserve">   Cuentas por pagar</t>
  </si>
  <si>
    <t>Q2: SWU 100.0(26) vs 125.7(25). Ajuste abajo.</t>
  </si>
  <si>
    <t>Estado Resultados</t>
  </si>
  <si>
    <t>Comparación homogénea: Q1 vs Q1, Q2 vs Q2, 1S, anuales.</t>
  </si>
  <si>
    <t>Uranio: cero en 1S25, fuerte en Q2 26.</t>
  </si>
  <si>
    <t>Cortes dic23→dic25→mar26→jun26 + métricas.</t>
  </si>
  <si>
    <t xml:space="preserve">   Inventarios adeudados</t>
  </si>
  <si>
    <t>HALEU + servicios.</t>
  </si>
  <si>
    <t>Costo de ventas</t>
  </si>
  <si>
    <t>Análisis Financiero</t>
  </si>
  <si>
    <t>Liquidez, Actividad (ciclo de caja), Endeudamiento, Rentabilidad, DuPont.</t>
  </si>
  <si>
    <t>Total revenue (10-Q/10-K).</t>
  </si>
  <si>
    <t>Costo SWU+Uranio</t>
  </si>
  <si>
    <t>Debe SWU/uranio a clientes.</t>
  </si>
  <si>
    <t xml:space="preserve">   Ingreso diferido</t>
  </si>
  <si>
    <t>WACC-CAPM, KTNO, NOPLAT, ROIC, g endógeno, DCF, valor intrínseco.</t>
  </si>
  <si>
    <t>Cost of sales LEU.</t>
  </si>
  <si>
    <t>Costo Technical Solutions</t>
  </si>
  <si>
    <t>Cost of sales TS.</t>
  </si>
  <si>
    <t>Costo de ventas total</t>
  </si>
  <si>
    <t>Clientes ya pagaron por adelantado.</t>
  </si>
  <si>
    <t>DESCARGO: material educativo, no asesoría financiera. Verifica cada cifra en SEC EDGAR. Alto riesgo; puedes perder capital.</t>
  </si>
  <si>
    <t>Total pasivo corriente</t>
  </si>
  <si>
    <t>Total cost of sales.</t>
  </si>
  <si>
    <t>UTILIDAD BRUTA</t>
  </si>
  <si>
    <t>Gross profit.</t>
  </si>
  <si>
    <t xml:space="preserve">  UB segmento LEU</t>
  </si>
  <si>
    <t>Deuda de largo plazo</t>
  </si>
  <si>
    <t>Gross profit LEU.</t>
  </si>
  <si>
    <t xml:space="preserve">  UB segmento TS</t>
  </si>
  <si>
    <t>Gross profit TS. Q2 26 en pérdida.</t>
  </si>
  <si>
    <t>Costos tecnología avanzada (I+D)</t>
  </si>
  <si>
    <t>Convertibles 0% y 2.25%.</t>
  </si>
  <si>
    <t>TOTAL PASIVOS</t>
  </si>
  <si>
    <t>Advanced technology costs. Sube fuerte.</t>
  </si>
  <si>
    <t>Gastos SG&amp;A</t>
  </si>
  <si>
    <t>SG&amp;A. Q2 26 incluye +17.2 stock-comp RSU.</t>
  </si>
  <si>
    <t>Amortización intangibles</t>
  </si>
  <si>
    <t>Amortization.</t>
  </si>
  <si>
    <t>INGRESO OPERATIVO</t>
  </si>
  <si>
    <t>PATRIMONIO TOTAL</t>
  </si>
  <si>
    <t>Operating income.</t>
  </si>
  <si>
    <t>Componente no-op beneficio</t>
  </si>
  <si>
    <t xml:space="preserve">  Margen bruto %</t>
  </si>
  <si>
    <t>765→845: retiene + emite acciones (ATM).</t>
  </si>
  <si>
    <t>Nonoperating benefit loss.</t>
  </si>
  <si>
    <t>Gasto por intereses</t>
  </si>
  <si>
    <t>MÉTRICAS DEL BALANCE</t>
  </si>
  <si>
    <t>Deuda neta (deuda − caja)</t>
  </si>
  <si>
    <t>Interest expense.</t>
  </si>
  <si>
    <t>Ingreso por inversiones</t>
  </si>
  <si>
    <t>Investment income (positivo).</t>
  </si>
  <si>
    <t>Extinción de deuda (one-time)</t>
  </si>
  <si>
    <t>One-time Q1 25.</t>
  </si>
  <si>
    <t>Otros (ingreso) gasto</t>
  </si>
  <si>
    <t>Other.</t>
  </si>
  <si>
    <t>Utilidad antes de impuestos</t>
  </si>
  <si>
    <t>Pretax income.</t>
  </si>
  <si>
    <t>Impuesto sobre la renta</t>
  </si>
  <si>
    <t>Income tax.</t>
  </si>
  <si>
    <t>UTILIDAD NETA</t>
  </si>
  <si>
    <t>NEGATIVA = posición neta de caja.</t>
  </si>
  <si>
    <t>Net income.</t>
  </si>
  <si>
    <t>Capital de trabajo (AC−PC)</t>
  </si>
  <si>
    <t>Utilidad neta ajustada (no-GAAP)</t>
  </si>
  <si>
    <t>Ajustada por growth costs + stock-comp.</t>
  </si>
  <si>
    <t>EPS básico ($)</t>
  </si>
  <si>
    <t>I+D (tecnología avanzada)</t>
  </si>
  <si>
    <t>Basic EPS.</t>
  </si>
  <si>
    <t>EPS diluido ($)</t>
  </si>
  <si>
    <t>Working capital.</t>
  </si>
  <si>
    <t>Diluted EPS.</t>
  </si>
  <si>
    <t>Razón corriente</t>
  </si>
  <si>
    <t>Acciones básicas (miles)</t>
  </si>
  <si>
    <t>Weighted avg basic.</t>
  </si>
  <si>
    <t>Acciones diluidas (miles)</t>
  </si>
  <si>
    <t>Weighted avg diluted.</t>
  </si>
  <si>
    <t>Depreciación y amortización</t>
  </si>
  <si>
    <t>SG&amp;A</t>
  </si>
  <si>
    <t>D&amp;A del flujo de caja (1S).</t>
  </si>
  <si>
    <t>BALANCE GENERAL (fin de periodo)</t>
  </si>
  <si>
    <t>&gt;5x: muy líquida.</t>
  </si>
  <si>
    <t>Deuda/Patrimonio</t>
  </si>
  <si>
    <t>Cash. mar26 y jun26.</t>
  </si>
  <si>
    <t>Cuentas por cobrar</t>
  </si>
  <si>
    <t>Accounts receivable.</t>
  </si>
  <si>
    <t>Inventarios</t>
  </si>
  <si>
    <t>Inventories. Sube fuerte.</t>
  </si>
  <si>
    <t>Costos diferidos</t>
  </si>
  <si>
    <t>Deferred costs.</t>
  </si>
  <si>
    <t>Otros activos corrientes</t>
  </si>
  <si>
    <t>Amortización</t>
  </si>
  <si>
    <t>Other current assets.</t>
  </si>
  <si>
    <t>Apalancamiento.</t>
  </si>
  <si>
    <t>Lectura: balance sólido con posición neta de caja (más caja que deuda). El cambio más visible de 2026 es PP&amp;E: de $29.5M a $142.5M en 6 meses — la expansión de enriquecimiento dejó de ser promesa y ya aparece en el activo. Contrapartida: inventarios suben y caja baja algo, consumida por capital de trabajo y CapEx.</t>
  </si>
  <si>
    <t>Total current assets.</t>
  </si>
  <si>
    <t>PP&amp;E. Salta por expansión.</t>
  </si>
  <si>
    <t>Depósitos garantía</t>
  </si>
  <si>
    <t>Deposits.</t>
  </si>
  <si>
    <t>Intangibles neto</t>
  </si>
  <si>
    <t>Intangibles.</t>
  </si>
  <si>
    <t>Activos impuesto diferido</t>
  </si>
  <si>
    <t>Deferred tax assets.</t>
  </si>
  <si>
    <t>Otros activos LP</t>
  </si>
  <si>
    <t>Other long-term.</t>
  </si>
  <si>
    <t>Total assets.</t>
  </si>
  <si>
    <t>Cuentas por pagar y acumulados</t>
  </si>
  <si>
    <t>AP &amp; accrued.</t>
  </si>
  <si>
    <t>Pagos compra inventario</t>
  </si>
  <si>
    <t>Payables inventory purchase.</t>
  </si>
  <si>
    <t>Inventarios adeudados</t>
  </si>
  <si>
    <t>Inventories owed.</t>
  </si>
  <si>
    <t>Ingreso diferido y anticipos</t>
  </si>
  <si>
    <t>Deferred revenue.</t>
  </si>
  <si>
    <t>Préstamos inventario CP</t>
  </si>
  <si>
    <t>ST inventory loans.</t>
  </si>
  <si>
    <t>Total current liabilities.</t>
  </si>
  <si>
    <t>Convertibles (carrying).</t>
  </si>
  <si>
    <t>Obligaciones postjubilación</t>
  </si>
  <si>
    <t>Postretirement.</t>
  </si>
  <si>
    <t>Pensiones</t>
  </si>
  <si>
    <t>Pension.</t>
  </si>
  <si>
    <t>Otros pasivos LP</t>
  </si>
  <si>
    <t>Other LT liab.</t>
  </si>
  <si>
    <t>Total liabilities.</t>
  </si>
  <si>
    <t>Stockholders' equity.</t>
  </si>
  <si>
    <t>Deuda nominal (face convertibles)</t>
  </si>
  <si>
    <t>402.5(2.25%)+805(0%).</t>
  </si>
  <si>
    <t>FLUJO DE CAJA (acumulado del periodo)</t>
  </si>
  <si>
    <t>Flujo de caja operativo</t>
  </si>
  <si>
    <t>OCF. 1S26 negativo (working capital).</t>
  </si>
  <si>
    <t>CapEx</t>
  </si>
  <si>
    <t>Capital expenditures. Salta a 94.8 en 1S26.</t>
  </si>
  <si>
    <t>MERCADO Y OPERATIVO (editable)</t>
  </si>
  <si>
    <t>Precio de la acción ($)</t>
  </si>
  <si>
    <t>ACTUALIZAR. ~$166 (ago 2026).</t>
  </si>
  <si>
    <t>Acciones en circulación (M)</t>
  </si>
  <si>
    <t>19.23 ClaseA + 0.72 ClaseB.</t>
  </si>
  <si>
    <t>Backlog total ($M)</t>
  </si>
  <si>
    <t>jun26: $4.5B (LEU 3.7 + TS 0.8).</t>
  </si>
  <si>
    <t>SUPUESTOS DE VALORACIÓN — WACC/CAPM (editable, estilo Damodaran USD)</t>
  </si>
  <si>
    <t>Tasa libre de riesgo (Treasury 10y)</t>
  </si>
  <si>
    <t>~4.3% ago 2026. EDITA.</t>
  </si>
  <si>
    <t>Prima de riesgo de mercado (ERP)</t>
  </si>
  <si>
    <t>Equity risk premium USA ~5.5%.</t>
  </si>
  <si>
    <t>Beta desapalancado (sector)</t>
  </si>
  <si>
    <t>Damodaran: Green&amp;Renewable/Utilities. EDITA.</t>
  </si>
  <si>
    <t>Tasa impositiva marginal</t>
  </si>
  <si>
    <t>Corporate USA 21%.</t>
  </si>
  <si>
    <t>Costo de la deuda (Kd)</t>
  </si>
  <si>
    <t>Convertibles mixtas 0% y 2.25% + spread. EDITA.</t>
  </si>
  <si>
    <t>Crecimiento perpetuo (g terminal)</t>
  </si>
  <si>
    <t>Largo plazo ~inflación/PIB.</t>
  </si>
  <si>
    <t>Celdas vacías (–) = dato no divulgado por separado en ese periodo. No es cero.</t>
  </si>
  <si>
    <t>Balance: solo cortes fiables a dic23, dic24, dic25, mar26 (Q1) y jun26 (Q2).</t>
  </si>
  <si>
    <t>SWU Q1: derivado de 1S menos Q2 (177.0−125.7=51.3 en 25; 141.6−100.0=41.6 en 26).</t>
  </si>
  <si>
    <t>Utilidad neta AJUSTADA (no-GAAP)</t>
  </si>
  <si>
    <t>Segmento UB por trimestre disponible; 1S por segmento no siempre divulgado (vacío).</t>
  </si>
  <si>
    <t>DRIVERS DE PROYECCIÓN (editables) — expansión de enriquecimiento HALEU/LEU</t>
  </si>
  <si>
    <t>Ingresos base FY2025 ($M)</t>
  </si>
  <si>
    <t>Ingresos reales FY2025.</t>
  </si>
  <si>
    <t>Crecim. ingresos año 1</t>
  </si>
  <si>
    <t>Contratos SWU + inicio HALEU (task order DOE).</t>
  </si>
  <si>
    <t>Crecim. ingresos año 2</t>
  </si>
  <si>
    <t>Expansión de capacidad entrando.</t>
  </si>
  <si>
    <t>Crecim. ingresos año 3</t>
  </si>
  <si>
    <t>HALEU a volumen; demanda SMR/IA.</t>
  </si>
  <si>
    <t>Crecim. ingresos año 4</t>
  </si>
  <si>
    <t>Crecim. ingresos año 5</t>
  </si>
  <si>
    <t>Maduración.</t>
  </si>
  <si>
    <t>Margen EBIT año 1</t>
  </si>
  <si>
    <t>Similar a FY25 (~11%).</t>
  </si>
  <si>
    <t>Margen EBIT año 2</t>
  </si>
  <si>
    <t>Margen EBIT año 3</t>
  </si>
  <si>
    <t>Escala de la nueva capacidad.</t>
  </si>
  <si>
    <t>Margen EBIT año 4</t>
  </si>
  <si>
    <t>ACUMULADO SEMESTRE (1S)</t>
  </si>
  <si>
    <t>Margen EBIT año 5</t>
  </si>
  <si>
    <t>Margen maduro.</t>
  </si>
  <si>
    <t>Margen EBIT terminal</t>
  </si>
  <si>
    <t>Estado estable.</t>
  </si>
  <si>
    <t>Depreciación como % ventas</t>
  </si>
  <si>
    <t>1S 2025</t>
  </si>
  <si>
    <t>1S 2026</t>
  </si>
  <si>
    <t>Menos intensivo que un minero.</t>
  </si>
  <si>
    <t>Lectura</t>
  </si>
  <si>
    <t>CapEx como % ventas</t>
  </si>
  <si>
    <t>Expansión de centrifugadoras/planta.</t>
  </si>
  <si>
    <t>Working capital como % ventas</t>
  </si>
  <si>
    <t>Ingresos totales</t>
  </si>
  <si>
    <t>Alto: inventario de SWU/uranio (negocio lumpy).</t>
  </si>
  <si>
    <t>Rendimiento sobre caja</t>
  </si>
  <si>
    <t>~4% sobre los ~$1.9B de caja.</t>
  </si>
  <si>
    <t>Reparto de dividendos</t>
  </si>
  <si>
    <t>No paga (reinvierte en expansión).</t>
  </si>
  <si>
    <t>Sube +11%: uranio compensa caída de SWU.</t>
  </si>
  <si>
    <t>Utilidad bruta</t>
  </si>
  <si>
    <t>Baja: mezcla de contratos y costos.</t>
  </si>
  <si>
    <t>Ingreso operativo</t>
  </si>
  <si>
    <t>Cae fuerte: I+D y SG&amp;A (stock-comp) disparados.</t>
  </si>
  <si>
    <t>Utilidad neta</t>
  </si>
  <si>
    <t>Baja ~52%: gastos de expansión + one-time 25.</t>
  </si>
  <si>
    <t>Utilidad neta ajustada</t>
  </si>
  <si>
    <t>Casi plana (62.2 vs 63.1): el núcleo aguanta.</t>
  </si>
  <si>
    <t>Clave analítica: la caída de utilidad neta GAAP (−42% Q2, −52% 1S) NO es deterioro operativo — es inversión. Los $17.2M de stock-comp por RSU y el salto de I+D (growth costs) son gastos de la expansión. La utilidad AJUSTADA (que los excluye) queda casi plana, confirmando que el negocio base sigue sano mientras construyen capacidad futura.</t>
  </si>
  <si>
    <t>ANÁLISIS FINANCIERO — Liquidez · Actividad · Endeudamiento · Rentabilidad · DuPont</t>
  </si>
  <si>
    <t>MODELO DE TRES ESTADOS PROYECTADOS Y ENLAZADOS (5 años) — Centrus Energy</t>
  </si>
  <si>
    <t>Metodología de tus modelos (Celsia/Murray). Calculado sobre años completos FY2023-2025 (comparables). Todo jala de DATOS.</t>
  </si>
  <si>
    <t>LEU ya es rentable (GAAP): el modelo proyecta el crecimiento con la expansión de enriquecimiento HALEU. El margen EBIT sube de 11% a 16% con la escala. La caja de ~$1.9B financia el CapEx. DESCUADRE verifica el cuadre (=0).</t>
  </si>
  <si>
    <t>Indicador</t>
  </si>
  <si>
    <t>Interpretación</t>
  </si>
  <si>
    <t>1 · LIQUIDEZ</t>
  </si>
  <si>
    <t>Base FY25</t>
  </si>
  <si>
    <t>Año 1</t>
  </si>
  <si>
    <t>Año 2</t>
  </si>
  <si>
    <t>Año 3</t>
  </si>
  <si>
    <t>Año 4</t>
  </si>
  <si>
    <t>Año 5</t>
  </si>
  <si>
    <t>Notas / enlace</t>
  </si>
  <si>
    <t>1 · ESTADO DE RESULTADOS</t>
  </si>
  <si>
    <t>AC/PC. FY25 ~5.6x. Muy líquida.</t>
  </si>
  <si>
    <t>Prueba ácida</t>
  </si>
  <si>
    <t>(AC−Inv)/PC. Excluye inventarios.</t>
  </si>
  <si>
    <t>Prueba hiper-ácida</t>
  </si>
  <si>
    <t>Caja/PC. FY25 ~4.6x: colchón enorme.</t>
  </si>
  <si>
    <t>Capital de trabajo ($M)</t>
  </si>
  <si>
    <t>Crece con contratos + expansión HALEU.</t>
  </si>
  <si>
    <t xml:space="preserve">  Crecimiento %</t>
  </si>
  <si>
    <t>AC−PC. Muy positivo.</t>
  </si>
  <si>
    <t>2 · ACTIVIDAD (eficiencia operativa)</t>
  </si>
  <si>
    <t>Rotación CxC</t>
  </si>
  <si>
    <t>Ventas/CxC. Alta: cobra rápido.</t>
  </si>
  <si>
    <t>Días de CxC</t>
  </si>
  <si>
    <t>Ingreso operativo (EBIT)</t>
  </si>
  <si>
    <t>Periodo medio de cobro.</t>
  </si>
  <si>
    <t>Rotación inventarios</t>
  </si>
  <si>
    <t>CV/Inv. Baja: inventario estratégico.</t>
  </si>
  <si>
    <t>Días de inventario</t>
  </si>
  <si>
    <t>Ventas × margen EBIT.</t>
  </si>
  <si>
    <t xml:space="preserve">  Margen EBIT %</t>
  </si>
  <si>
    <t>PME. Alto: guarda SWU/uranio.</t>
  </si>
  <si>
    <t>Rotación CxP</t>
  </si>
  <si>
    <t>CV/CxP.</t>
  </si>
  <si>
    <t>Días de CxP</t>
  </si>
  <si>
    <t>De 11% a 16% con escala.</t>
  </si>
  <si>
    <t xml:space="preserve">   (+) Ingreso por inversiones (caja)</t>
  </si>
  <si>
    <t>PMP.</t>
  </si>
  <si>
    <t>Ciclo de conversión de efectivo</t>
  </si>
  <si>
    <t>~4% sobre la caja del año anterior. Importante en LEU.</t>
  </si>
  <si>
    <t>PME+PMC−PMP. Días que financia el negocio.</t>
  </si>
  <si>
    <t>Rotación activos totales</t>
  </si>
  <si>
    <t xml:space="preserve">   (−) Impuestos</t>
  </si>
  <si>
    <t>Ventas/Activos. MUY baja: caja ociosa.</t>
  </si>
  <si>
    <t>3 · ENDEUDAMIENTO</t>
  </si>
  <si>
    <t>Nivel de endeudamiento</t>
  </si>
  <si>
    <t>Pasivo/Activo. FY25 ~69%.</t>
  </si>
  <si>
    <t>Apalancamiento total</t>
  </si>
  <si>
    <t>Pasivo/Patrimonio.</t>
  </si>
  <si>
    <t>Deuda financiera/Patrimonio</t>
  </si>
  <si>
    <t>Tasa efectiva.</t>
  </si>
  <si>
    <t>Solo deuda financiera.</t>
  </si>
  <si>
    <t>Cubrimiento de intereses</t>
  </si>
  <si>
    <t>EBIT/Intereses. (FY25 op income disp.)</t>
  </si>
  <si>
    <t>4 · RENTABILIDAD</t>
  </si>
  <si>
    <t>2 · BALANCE GENERAL</t>
  </si>
  <si>
    <t>Margen bruto</t>
  </si>
  <si>
    <t>UB/Ventas. Alto ~26-35%.</t>
  </si>
  <si>
    <t>Margen operativo</t>
  </si>
  <si>
    <t>← Caja final del Flujo. El gran colchón.</t>
  </si>
  <si>
    <t>Op income/Ventas. (FY25).</t>
  </si>
  <si>
    <t>Margen neto</t>
  </si>
  <si>
    <t>UN/Ventas. Alto por inversión+one-times.</t>
  </si>
  <si>
    <t>ROA</t>
  </si>
  <si>
    <t>UN/Activos. Bajo: balance con caja ociosa.</t>
  </si>
  <si>
    <t>ROE</t>
  </si>
  <si>
    <t>UN/Patrimonio. FY25 ~10%.</t>
  </si>
  <si>
    <t>5 · DUPONT (descompone el ROE)</t>
  </si>
  <si>
    <t>(1) Margen neto</t>
  </si>
  <si>
    <t>Ratio CxC/ventas.</t>
  </si>
  <si>
    <t>Rentabilidad.</t>
  </si>
  <si>
    <t>(2) Rotación de activos</t>
  </si>
  <si>
    <t>Eficiencia. Bajísima por la caja.</t>
  </si>
  <si>
    <t>(3) Multiplicador de capital</t>
  </si>
  <si>
    <t>ROE = (1)×(2)×(3)</t>
  </si>
  <si>
    <t>SWU + uranio (lumpy).</t>
  </si>
  <si>
    <t>Verificación DuPont. Debe = ROE.</t>
  </si>
  <si>
    <t>Diagnóstico DuPont: el ROE de ~10% NO viene de eficiencia (rotación de activos ~0.18x, bajísima) sino del margen alto y el apalancamiento. La razón: ~$1.9B de caja "ociosa" inflan los activos y hunden la rotación. Traducción financiera: hoy Centrus es un negocio rentable pequeño sentado sobre una montaña de caja. El valor no está en exprimir las operaciones actuales, sino en convertir esa caja en capacidad productiva (la expansión). Ahí está toda la tesis.</t>
  </si>
  <si>
    <t>+ CapEx − depreciación (expansión).</t>
  </si>
  <si>
    <t>Otros activos (resto)</t>
  </si>
  <si>
    <t>Resto constante.</t>
  </si>
  <si>
    <t xml:space="preserve">   Pasivos operativos</t>
  </si>
  <si>
    <t>Ratio pasivos oper./ventas.</t>
  </si>
  <si>
    <t>Deuda (plug de cuadre)</t>
  </si>
  <si>
    <t>PLUG: cuadra el balance.</t>
  </si>
  <si>
    <t>PATRIMONIO</t>
  </si>
  <si>
    <t>Previo + utilidad.</t>
  </si>
  <si>
    <t>TOTAL PASIVO + PATRIMONIO</t>
  </si>
  <si>
    <t>DESCUADRE (Activo − Pas − Patr)</t>
  </si>
  <si>
    <t>DEBE SER 0.</t>
  </si>
  <si>
    <t>3 · FLUJO DE CAJA</t>
  </si>
  <si>
    <t>← Resultados.</t>
  </si>
  <si>
    <t xml:space="preserve">   (+) Depreciación</t>
  </si>
  <si>
    <t>No-caja.</t>
  </si>
  <si>
    <t xml:space="preserve">   (−) Δ Capital de trabajo</t>
  </si>
  <si>
    <t>Alto en LEU (inventario lumpy).</t>
  </si>
  <si>
    <t xml:space="preserve">   (−) CapEx</t>
  </si>
  <si>
    <t>% de ventas (expansión).</t>
  </si>
  <si>
    <t>Flujo de caja libre (FCF)</t>
  </si>
  <si>
    <t>OCF − CapEx. Alimenta el DCF.</t>
  </si>
  <si>
    <t xml:space="preserve">   Caja inicial</t>
  </si>
  <si>
    <t>Caja final</t>
  </si>
  <si>
    <t>→ Caja del Balance.</t>
  </si>
  <si>
    <t>Cómo leerlo: LEU es el más maduro de los cuatro — ya gana dinero GAAP, así que el DCF parte de una base sólida sin necesidad de esperar un breakeven. El motor de valor es doble: el crecimiento operativo (expansión HALEU) más el ingreso por inversiones sobre los ~$1.9B de caja (fila 12), que es una fuente real de utilidad en LEU. El working capital es alto por el inventario lumpy de SWU/uranio. Descuadre=0 confirma el cuadre. Cambia crecimiento o márgenes en DATOS y los tres estados responden juntos.</t>
  </si>
  <si>
    <t>VALORACIÓN — WACC (CAPM) · KTNO · NOPLAT · ROIC · g endógeno · DCF</t>
  </si>
  <si>
    <t>Metodología de tus modelos, adaptada a empresa USD (sin EMBI/devaluación; beta sector Damodaran). Amarillo = editable (viene de DATOS). Verde = jala de DATOS.</t>
  </si>
  <si>
    <t>1 · COSTO DE CAPITAL (WACC vía CAPM)</t>
  </si>
  <si>
    <t>Tasa libre de riesgo (Rf)</t>
  </si>
  <si>
    <t>Treasury 10y. De DATOS.</t>
  </si>
  <si>
    <t>Equity risk premium. De DATOS.</t>
  </si>
  <si>
    <t>Beta desapalancado (βu)</t>
  </si>
  <si>
    <t>Sector Damodaran. De DATOS.</t>
  </si>
  <si>
    <t>Valor de mercado del equity (E)</t>
  </si>
  <si>
    <t>Precio × acciones (de DATOS).</t>
  </si>
  <si>
    <t>Valor de la deuda (D)</t>
  </si>
  <si>
    <t>Deuda LP (jun26, de DATOS).</t>
  </si>
  <si>
    <t>Peso deuda D/(D+E)</t>
  </si>
  <si>
    <t>Estructura de capital.</t>
  </si>
  <si>
    <t>Peso equity E/(D+E)</t>
  </si>
  <si>
    <t>Tasa impositiva (t)</t>
  </si>
  <si>
    <t>De DATOS.</t>
  </si>
  <si>
    <t>Beta apalancado (βL, Hamada)</t>
  </si>
  <si>
    <t>βu×(1+(1−t)×D/E).</t>
  </si>
  <si>
    <t>Costo del equity (Ke = CAPM)</t>
  </si>
  <si>
    <t>Rf + βL × ERP.</t>
  </si>
  <si>
    <t>Kd después de impuestos</t>
  </si>
  <si>
    <t>Kd×(1−t). Escudo fiscal.</t>
  </si>
  <si>
    <t>WACC</t>
  </si>
  <si>
    <t>We×Ke + Wd×Kd(1−t).</t>
  </si>
  <si>
    <t>2 · CREACIÓN DE VALOR (NOPLAT · ROIC · g endógeno)</t>
  </si>
  <si>
    <t>Cálculo sobre FY2025 (último año completo)</t>
  </si>
  <si>
    <t>Capital de trabajo neto operativo (KTNO)</t>
  </si>
  <si>
    <t>AC operativos − PC operativos (excluye caja y deuda).</t>
  </si>
  <si>
    <t>(+) Activos fijos netos (PP&amp;E+intang)</t>
  </si>
  <si>
    <t>Inversión de largo plazo.</t>
  </si>
  <si>
    <t>Capital invertido neto</t>
  </si>
  <si>
    <t>KTNO + activos fijos. Lo que el negocio realmente emplea.</t>
  </si>
  <si>
    <t>NOPLAT (op. income × (1−t))</t>
  </si>
  <si>
    <t>Utilidad operativa neta de impuestos.</t>
  </si>
  <si>
    <t>ROIC (NOPLAT / Capital invertido)</t>
  </si>
  <si>
    <t>NOPLAT/Capital invertido. OJO: sale alto (~43%) porque el capital invertido es bajo HOY (PP&amp;E recién crece). Se normalizará a la baja cuando la expansión entre en la base de capital.</t>
  </si>
  <si>
    <t>Spread (ROIC − WACC)</t>
  </si>
  <si>
    <t>&gt;0 = crea valor. &lt;0 = destruye valor sobre ese capital.</t>
  </si>
  <si>
    <t>Índice de reinversión (IR) — supuesto</t>
  </si>
  <si>
    <t>% de NOPLAT reinvertido. Editable. Alto por fase de expansión.</t>
  </si>
  <si>
    <t>g endógeno (ROIC × IR)</t>
  </si>
  <si>
    <t>Crecimiento sostenible = retorno × reinversión.</t>
  </si>
  <si>
    <t>DCF — Flujo de Caja Libre proyectado (desde Proyecciones)</t>
  </si>
  <si>
    <t>LEU ya es rentable con FCF positivo: el DCF es el más limpio de los cuatro modelos.</t>
  </si>
  <si>
    <t>Año</t>
  </si>
  <si>
    <t>FCF ($M)</t>
  </si>
  <si>
    <t>VP ($M)</t>
  </si>
  <si>
    <t>FCF de Proyecciones.</t>
  </si>
  <si>
    <t>FCF terminal normalizado ($M)</t>
  </si>
  <si>
    <t>Ventas año5 × margen EBIT terminal × (1−t).</t>
  </si>
  <si>
    <t>Valor terminal (Gordon, g=3%)</t>
  </si>
  <si>
    <t>Crecimiento perpetuo 3%.</t>
  </si>
  <si>
    <t>Valor empresa (EV) ($M)</t>
  </si>
  <si>
    <t>(+) Caja − deuda ($M)</t>
  </si>
  <si>
    <t>Puente EV→equity. LEU tiene posición neta de caja.</t>
  </si>
  <si>
    <t>Valor del patrimonio ($M)</t>
  </si>
  <si>
    <t>Valor intrínseco por acción — DCF ($)</t>
  </si>
  <si>
    <t>Precio de mercado ($)</t>
  </si>
  <si>
    <t>Margen de seguridad vs DCF</t>
  </si>
  <si>
    <t>El DCF captura el negocio actual; la opción HALEU a gran escala es adicional.</t>
  </si>
  <si>
    <t>ANÁLISIS DE SENSIBILIDAD — Valor por acción (DCF)</t>
  </si>
  <si>
    <t>WACC (filas) × crecimiento perpetuo g (columnas). Como LEU ya es rentable, la sensibilidad al terminal es más estable que en los mineros.</t>
  </si>
  <si>
    <t>WACC \ g →</t>
  </si>
  <si>
    <t>ANÁLISIS DE COMPARABLES (Comps) — combustible nuclear y enriquecimiento</t>
  </si>
  <si>
    <t>Ancla LEU contra la cadena nuclear (uranio, enriquecimiento, servicios). LEU es rentable → P/U y EV/EBITDA aplican. Múltiplos aproximados/editables (azul).</t>
  </si>
  <si>
    <t>Empresa</t>
  </si>
  <si>
    <t>Ticker</t>
  </si>
  <si>
    <t>P/U</t>
  </si>
  <si>
    <t>EV/EBITDA</t>
  </si>
  <si>
    <t>P/VC</t>
  </si>
  <si>
    <t>Cameco</t>
  </si>
  <si>
    <t>CCJ</t>
  </si>
  <si>
    <t>Líder uranio integrado. Referencia premium.</t>
  </si>
  <si>
    <t>BWX Technologies</t>
  </si>
  <si>
    <t>BWXT</t>
  </si>
  <si>
    <t>Componentes nucleares USA. Rentable, defensivo.</t>
  </si>
  <si>
    <t>Oklo</t>
  </si>
  <si>
    <t>OKLO</t>
  </si>
  <si>
    <t>n/d</t>
  </si>
  <si>
    <t>SMR pre-ingreso. Comparable de opción HALEU.</t>
  </si>
  <si>
    <t>NuScale Power</t>
  </si>
  <si>
    <t>SMR</t>
  </si>
  <si>
    <t>SMR pre-ingreso. Demanda de HALEU.</t>
  </si>
  <si>
    <t>Uranium Energy</t>
  </si>
  <si>
    <t>UEC</t>
  </si>
  <si>
    <t>Uranio junior USA.</t>
  </si>
  <si>
    <t>Nexgen Energy</t>
  </si>
  <si>
    <t>NXE</t>
  </si>
  <si>
    <t>Uranio pre-producción.</t>
  </si>
  <si>
    <t>MEDIANA</t>
  </si>
  <si>
    <t>VALORACIÓN IMPLÍCITA DE LEU</t>
  </si>
  <si>
    <t>Método</t>
  </si>
  <si>
    <t>Base LEU</t>
  </si>
  <si>
    <t>× múltiplo</t>
  </si>
  <si>
    <t>Valor/acción</t>
  </si>
  <si>
    <t>Nota</t>
  </si>
  <si>
    <t>Por P/U (utilidad año1)</t>
  </si>
  <si>
    <t>Utilidad año1 × P/U mediana.</t>
  </si>
  <si>
    <t>Por EV/EBITDA (año1)</t>
  </si>
  <si>
    <t>(EBITDA×múlt + caja − deuda)/acciones.</t>
  </si>
  <si>
    <t>Nota: LEU no tiene un comp puro — es el único enricher occidental cotizado. Cameco (uranio) y BWXT (componentes) enmarcan la parte rentable; Oklo y NuScale (SMR pre-ingreso) capturan la prima de opción HALEU que el mercado paga. Los múltiplos sobre el negocio actual quedan por debajo del precio, confirmando que el mercado descuenta el rol estratégico futuro de LEU en la cadena de enriquecimiento de EE.UU.</t>
  </si>
  <si>
    <t>Precio de mercado:</t>
  </si>
  <si>
    <t>Compara cada celda con el precio de ~$166.</t>
  </si>
  <si>
    <t>Lectura: el DCF de LEU valora el negocio de enriquecimiento ACTUAL. Como en los otros, el precio de mercado incorpora una prima grande por la opción estratégica: convertirse en el productor occidental de HALEU a escala para SMRs e IA, respaldado por el gobierno de EE.UU. La sensibilidad muestra que ni el escenario más optimista de flujos actuales alcanza el precio — la tesis descansa en esa opción, no en el negocio de hoy.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</si>
</sst>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quot;($&quot;#,##0.0\);\-"/>
    <numFmt numFmtId="165" formatCode="\$#,##0.00"/>
    <numFmt numFmtId="166" formatCode="0.0%"/>
    <numFmt numFmtId="167" formatCode="0.00\x"/>
    <numFmt numFmtId="168" formatCode="\$#,##0.0"/>
    <numFmt numFmtId="169" formatCode="#,##0&quot; d&quot;"/>
    <numFmt numFmtId="170" formatCode="0.0\x"/>
    <numFmt numFmtId="171" formatCode="\$#,##0"/>
  </numFmts>
  <fonts count="24">
    <font>
      <sz val="11.0"/>
      <color theme="1"/>
      <name val="Calibri"/>
      <scheme val="minor"/>
    </font>
    <font>
      <sz val="11.0"/>
      <color theme="1"/>
      <name val="Calibri"/>
    </font>
    <font>
      <b/>
      <sz val="14.0"/>
      <color rgb="FFFFFFFF"/>
      <name val="Arial"/>
    </font>
    <font>
      <b/>
      <sz val="13.0"/>
      <color rgb="FFFFFFFF"/>
      <name val="Arial"/>
    </font>
    <font/>
    <font>
      <i/>
      <sz val="8.0"/>
      <color rgb="FF808080"/>
      <name val="Arial"/>
    </font>
    <font>
      <b/>
      <sz val="9.0"/>
      <color rgb="FFFFFFFF"/>
      <name val="Arial"/>
    </font>
    <font>
      <b/>
      <sz val="11.0"/>
      <color theme="1"/>
      <name val="Arial"/>
    </font>
    <font>
      <b/>
      <sz val="10.0"/>
      <color rgb="FF1F3864"/>
      <name val="Arial"/>
    </font>
    <font>
      <b/>
      <sz val="10.0"/>
      <color theme="1"/>
      <name val="Arial"/>
    </font>
    <font>
      <sz val="10.0"/>
      <color rgb="FF000000"/>
      <name val="Arial"/>
    </font>
    <font>
      <sz val="10.0"/>
      <color rgb="FF008000"/>
      <name val="Arial"/>
    </font>
    <font>
      <b/>
      <sz val="10.0"/>
      <color rgb="FF008000"/>
      <name val="Arial"/>
    </font>
    <font>
      <sz val="9.0"/>
      <color rgb="FF404040"/>
      <name val="Arial"/>
    </font>
    <font>
      <b/>
      <sz val="9.0"/>
      <color rgb="FF1F3864"/>
      <name val="Arial"/>
    </font>
    <font>
      <sz val="10.0"/>
      <color rgb="FF0000FF"/>
      <name val="Arial"/>
    </font>
    <font>
      <sz val="9.0"/>
      <color theme="1"/>
      <name val="Arial"/>
    </font>
    <font>
      <i/>
      <sz val="8.0"/>
      <color rgb="FFC00000"/>
      <name val="Arial"/>
    </font>
    <font>
      <i/>
      <sz val="9.0"/>
      <color rgb="FFC00000"/>
      <name val="Arial"/>
    </font>
    <font>
      <sz val="8.0"/>
      <color rgb="FF606060"/>
      <name val="Arial"/>
    </font>
    <font>
      <b/>
      <sz val="10.0"/>
      <color rgb="FFFFFFFF"/>
      <name val="Arial"/>
    </font>
    <font>
      <sz val="8.0"/>
      <color rgb="FF404040"/>
      <name val="Arial"/>
    </font>
    <font>
      <b/>
      <sz val="12.0"/>
      <color rgb="FFFFFFFF"/>
      <name val="Arial"/>
    </font>
    <font>
      <i/>
      <sz val="9.0"/>
      <color rgb="FF1F3864"/>
      <name val="Arial"/>
    </font>
  </fonts>
  <fills count="15">
    <fill>
      <patternFill patternType="none"/>
    </fill>
    <fill>
      <patternFill patternType="lightGray"/>
    </fill>
    <fill>
      <patternFill patternType="solid">
        <fgColor rgb="FF1F3864"/>
        <bgColor rgb="FF1F3864"/>
      </patternFill>
    </fill>
    <fill>
      <patternFill patternType="solid">
        <fgColor rgb="FF2E5496"/>
        <bgColor rgb="FF2E5496"/>
      </patternFill>
    </fill>
    <fill>
      <patternFill patternType="solid">
        <fgColor rgb="FFD9E1F2"/>
        <bgColor rgb="FFD9E1F2"/>
      </patternFill>
    </fill>
    <fill>
      <patternFill patternType="solid">
        <fgColor rgb="FF548235"/>
        <bgColor rgb="FF548235"/>
      </patternFill>
    </fill>
    <fill>
      <patternFill patternType="solid">
        <fgColor rgb="FFC55A11"/>
        <bgColor rgb="FFC55A11"/>
      </patternFill>
    </fill>
    <fill>
      <patternFill patternType="solid">
        <fgColor rgb="FFBF8F00"/>
        <bgColor rgb="FFBF8F00"/>
      </patternFill>
    </fill>
    <fill>
      <patternFill patternType="solid">
        <fgColor rgb="FFFFE699"/>
        <bgColor rgb="FFFFE699"/>
      </patternFill>
    </fill>
    <fill>
      <patternFill patternType="solid">
        <fgColor rgb="FFC6E0B4"/>
        <bgColor rgb="FFC6E0B4"/>
      </patternFill>
    </fill>
    <fill>
      <patternFill patternType="solid">
        <fgColor rgb="FFBDD7EE"/>
        <bgColor rgb="FFBDD7EE"/>
      </patternFill>
    </fill>
    <fill>
      <patternFill patternType="solid">
        <fgColor rgb="FFF8CBAD"/>
        <bgColor rgb="FFF8CBAD"/>
      </patternFill>
    </fill>
    <fill>
      <patternFill patternType="solid">
        <fgColor rgb="FFE2EFDA"/>
        <bgColor rgb="FFE2EFDA"/>
      </patternFill>
    </fill>
    <fill>
      <patternFill patternType="solid">
        <fgColor rgb="FFFFF2CC"/>
        <bgColor rgb="FFFFF2CC"/>
      </patternFill>
    </fill>
    <fill>
      <patternFill patternType="solid">
        <fgColor rgb="FFFFFF00"/>
        <bgColor rgb="FFFFFF00"/>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0" fillId="0" fontId="5" numFmtId="0" xfId="0" applyAlignment="1" applyFont="1">
      <alignment horizontal="left" shrinkToFit="0" vertical="center" wrapText="1"/>
    </xf>
    <xf borderId="4" fillId="3" fontId="6" numFmtId="0" xfId="0" applyAlignment="1" applyBorder="1" applyFill="1" applyFont="1">
      <alignment shrinkToFit="0" vertical="bottom" wrapText="0"/>
    </xf>
    <xf borderId="4" fillId="4" fontId="7" numFmtId="0" xfId="0" applyAlignment="1" applyBorder="1" applyFill="1" applyFont="1">
      <alignment shrinkToFit="0" vertical="bottom" wrapText="0"/>
    </xf>
    <xf borderId="5" fillId="5" fontId="6" numFmtId="0" xfId="0" applyAlignment="1" applyBorder="1" applyFill="1" applyFont="1">
      <alignment horizontal="center" shrinkToFit="0" vertical="center" wrapText="1"/>
    </xf>
    <xf borderId="6" fillId="0" fontId="4" numFmtId="0" xfId="0" applyBorder="1" applyFont="1"/>
    <xf borderId="4" fillId="3" fontId="6" numFmtId="0" xfId="0" applyAlignment="1" applyBorder="1" applyFont="1">
      <alignment horizontal="center" shrinkToFit="0" vertical="center" wrapText="1"/>
    </xf>
    <xf borderId="4" fillId="4" fontId="1" numFmtId="0" xfId="0" applyAlignment="1" applyBorder="1" applyFont="1">
      <alignment shrinkToFit="0" vertical="bottom" wrapText="0"/>
    </xf>
    <xf borderId="7" fillId="0" fontId="4" numFmtId="0" xfId="0" applyBorder="1" applyFont="1"/>
    <xf borderId="4" fillId="4" fontId="8" numFmtId="0" xfId="0" applyAlignment="1" applyBorder="1" applyFont="1">
      <alignment shrinkToFit="0" vertical="bottom" wrapText="0"/>
    </xf>
    <xf borderId="5" fillId="6" fontId="6" numFmtId="0" xfId="0" applyAlignment="1" applyBorder="1" applyFill="1" applyFont="1">
      <alignment horizontal="center" shrinkToFit="0" vertical="center" wrapText="1"/>
    </xf>
    <xf borderId="4" fillId="0" fontId="9"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4" fillId="0" fontId="1" numFmtId="0" xfId="0" applyAlignment="1" applyBorder="1" applyFont="1">
      <alignment shrinkToFit="0" vertical="bottom" wrapText="0"/>
    </xf>
    <xf borderId="4" fillId="0" fontId="11" numFmtId="164" xfId="0" applyAlignment="1" applyBorder="1" applyFont="1" applyNumberFormat="1">
      <alignment horizontal="center" shrinkToFit="0" vertical="center" wrapText="1"/>
    </xf>
    <xf borderId="4" fillId="0" fontId="11" numFmtId="165" xfId="0" applyAlignment="1" applyBorder="1" applyFont="1" applyNumberFormat="1">
      <alignment horizontal="center" shrinkToFit="0" vertical="center" wrapText="1"/>
    </xf>
    <xf borderId="5" fillId="3" fontId="6"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4" fillId="0" fontId="10" numFmtId="166" xfId="0" applyAlignment="1" applyBorder="1" applyFont="1" applyNumberFormat="1">
      <alignment horizontal="center" shrinkToFit="0" vertical="center" wrapText="1"/>
    </xf>
    <xf borderId="5" fillId="7" fontId="6" numFmtId="0" xfId="0" applyAlignment="1" applyBorder="1" applyFill="1" applyFont="1">
      <alignment horizontal="center" shrinkToFit="0" vertical="center" wrapText="1"/>
    </xf>
    <xf borderId="4" fillId="3" fontId="6" numFmtId="0" xfId="0" applyAlignment="1" applyBorder="1" applyFont="1">
      <alignment horizontal="left" shrinkToFit="0" vertical="center" wrapText="1"/>
    </xf>
    <xf borderId="4" fillId="8" fontId="9" numFmtId="0" xfId="0" applyAlignment="1" applyBorder="1" applyFill="1" applyFont="1">
      <alignment horizontal="center" shrinkToFit="0" vertical="center" wrapText="1"/>
    </xf>
    <xf borderId="4" fillId="0" fontId="12" numFmtId="164" xfId="0" applyAlignment="1" applyBorder="1" applyFont="1" applyNumberFormat="1">
      <alignment horizontal="center" shrinkToFit="0" vertical="center" wrapText="1"/>
    </xf>
    <xf borderId="4" fillId="0" fontId="13" numFmtId="0" xfId="0" applyAlignment="1" applyBorder="1" applyFont="1">
      <alignment horizontal="left" shrinkToFit="0" vertical="center" wrapText="1"/>
    </xf>
    <xf borderId="4" fillId="9" fontId="9" numFmtId="0" xfId="0" applyAlignment="1" applyBorder="1" applyFill="1" applyFont="1">
      <alignment horizontal="center" shrinkToFit="0" vertical="center" wrapText="1"/>
    </xf>
    <xf borderId="4" fillId="10" fontId="8" numFmtId="0" xfId="0" applyAlignment="1" applyBorder="1" applyFill="1" applyFont="1">
      <alignment horizontal="left" shrinkToFit="0" vertical="center" wrapText="1"/>
    </xf>
    <xf borderId="4" fillId="10" fontId="1" numFmtId="0" xfId="0" applyAlignment="1" applyBorder="1" applyFont="1">
      <alignment shrinkToFit="0" vertical="bottom" wrapText="0"/>
    </xf>
    <xf borderId="4" fillId="11" fontId="9" numFmtId="0" xfId="0" applyAlignment="1" applyBorder="1" applyFill="1" applyFont="1">
      <alignment horizontal="center" shrinkToFit="0" vertical="center" wrapText="1"/>
    </xf>
    <xf borderId="4" fillId="12" fontId="10" numFmtId="0" xfId="0" applyAlignment="1" applyBorder="1" applyFill="1" applyFont="1">
      <alignment horizontal="center" shrinkToFit="0" vertical="center" wrapText="1"/>
    </xf>
    <xf borderId="4" fillId="0" fontId="14" numFmtId="0" xfId="0" applyAlignment="1" applyBorder="1" applyFont="1">
      <alignment horizontal="left" shrinkToFit="0" vertical="center" wrapText="1"/>
    </xf>
    <xf borderId="4" fillId="13" fontId="15" numFmtId="164" xfId="0" applyAlignment="1" applyBorder="1" applyFill="1" applyFont="1" applyNumberFormat="1">
      <alignment horizontal="center" shrinkToFit="0" vertical="center" wrapText="1"/>
    </xf>
    <xf borderId="5" fillId="0" fontId="16" numFmtId="0" xfId="0" applyAlignment="1" applyBorder="1" applyFont="1">
      <alignment horizontal="left" shrinkToFit="0" vertical="center" wrapText="1"/>
    </xf>
    <xf borderId="4" fillId="12" fontId="15" numFmtId="164" xfId="0" applyAlignment="1" applyBorder="1" applyFont="1" applyNumberFormat="1">
      <alignment horizontal="center" shrinkToFit="0" vertical="center" wrapText="1"/>
    </xf>
    <xf borderId="0" fillId="0" fontId="17" numFmtId="0" xfId="0" applyAlignment="1" applyFont="1">
      <alignment horizontal="left" shrinkToFit="0" vertical="center" wrapText="1"/>
    </xf>
    <xf borderId="4" fillId="13" fontId="10" numFmtId="0" xfId="0" applyAlignment="1" applyBorder="1" applyFont="1">
      <alignment horizontal="center" shrinkToFit="0" vertical="center" wrapText="1"/>
    </xf>
    <xf borderId="4" fillId="0" fontId="10" numFmtId="164" xfId="0" applyAlignment="1" applyBorder="1" applyFont="1" applyNumberFormat="1">
      <alignment horizontal="center" shrinkToFit="0" vertical="center" wrapText="1"/>
    </xf>
    <xf borderId="4" fillId="12" fontId="15" numFmtId="165" xfId="0" applyAlignment="1" applyBorder="1" applyFont="1" applyNumberFormat="1">
      <alignment horizontal="center" shrinkToFit="0" vertical="center" wrapText="1"/>
    </xf>
    <xf borderId="4" fillId="13" fontId="15" numFmtId="165" xfId="0" applyAlignment="1" applyBorder="1" applyFont="1" applyNumberFormat="1">
      <alignment horizontal="center" shrinkToFit="0" vertical="center" wrapText="1"/>
    </xf>
    <xf borderId="4" fillId="13" fontId="15" numFmtId="3" xfId="0" applyAlignment="1" applyBorder="1" applyFont="1" applyNumberFormat="1">
      <alignment horizontal="center" shrinkToFit="0" vertical="center" wrapText="1"/>
    </xf>
    <xf borderId="4" fillId="0" fontId="10" numFmtId="167" xfId="0" applyAlignment="1" applyBorder="1" applyFont="1" applyNumberFormat="1">
      <alignment horizontal="center" shrinkToFit="0" vertical="center" wrapText="1"/>
    </xf>
    <xf borderId="0" fillId="0" fontId="18" numFmtId="0" xfId="0" applyAlignment="1" applyFont="1">
      <alignment horizontal="left" shrinkToFit="0" vertical="center" wrapText="1"/>
    </xf>
    <xf borderId="4" fillId="13" fontId="15" numFmtId="4" xfId="0" applyAlignment="1" applyBorder="1" applyFont="1" applyNumberFormat="1">
      <alignment horizontal="center" shrinkToFit="0" vertical="center" wrapText="1"/>
    </xf>
    <xf borderId="4" fillId="13" fontId="15" numFmtId="166" xfId="0" applyAlignment="1" applyBorder="1" applyFont="1" applyNumberFormat="1">
      <alignment horizontal="center" shrinkToFit="0" vertical="center" wrapText="1"/>
    </xf>
    <xf borderId="4" fillId="13" fontId="15" numFmtId="2" xfId="0" applyAlignment="1" applyBorder="1" applyFont="1" applyNumberFormat="1">
      <alignment horizontal="center" shrinkToFit="0" vertical="center" wrapText="1"/>
    </xf>
    <xf borderId="0" fillId="0" fontId="19" numFmtId="0" xfId="0" applyAlignment="1" applyFont="1">
      <alignment horizontal="left" shrinkToFit="0" vertical="center" wrapText="1"/>
    </xf>
    <xf borderId="4" fillId="14" fontId="15" numFmtId="168" xfId="0" applyAlignment="1" applyBorder="1" applyFill="1" applyFont="1" applyNumberFormat="1">
      <alignment horizontal="center" shrinkToFit="0" vertical="center" wrapText="0"/>
    </xf>
    <xf borderId="4" fillId="14" fontId="15" numFmtId="166" xfId="0" applyAlignment="1" applyBorder="1" applyFont="1" applyNumberFormat="1">
      <alignment horizontal="center" shrinkToFit="0" vertical="center" wrapText="0"/>
    </xf>
    <xf borderId="5" fillId="7" fontId="20" numFmtId="0" xfId="0" applyAlignment="1" applyBorder="1" applyFont="1">
      <alignment horizontal="left" shrinkToFit="0" vertical="center" wrapText="1"/>
    </xf>
    <xf borderId="5" fillId="0" fontId="21" numFmtId="0" xfId="0" applyAlignment="1" applyBorder="1" applyFont="1">
      <alignment horizontal="left" shrinkToFit="0" vertical="center" wrapText="1"/>
    </xf>
    <xf borderId="1" fillId="2" fontId="22" numFmtId="0" xfId="0" applyAlignment="1" applyBorder="1" applyFont="1">
      <alignment horizontal="center" shrinkToFit="0" vertical="center" wrapText="1"/>
    </xf>
    <xf borderId="4" fillId="3" fontId="20" numFmtId="0" xfId="0" applyAlignment="1" applyBorder="1" applyFont="1">
      <alignment horizontal="left" shrinkToFit="0" vertical="center" wrapText="1"/>
    </xf>
    <xf borderId="4" fillId="3" fontId="1" numFmtId="0" xfId="0" applyAlignment="1" applyBorder="1" applyFont="1">
      <alignment shrinkToFit="0" vertical="bottom" wrapText="0"/>
    </xf>
    <xf borderId="4" fillId="0" fontId="9" numFmtId="164" xfId="0" applyAlignment="1" applyBorder="1" applyFont="1" applyNumberFormat="1">
      <alignment horizontal="center" shrinkToFit="0" vertical="center" wrapText="1"/>
    </xf>
    <xf borderId="4" fillId="0" fontId="10" numFmtId="169" xfId="0" applyAlignment="1" applyBorder="1" applyFont="1" applyNumberFormat="1">
      <alignment horizontal="center" shrinkToFit="0" vertical="center" wrapText="1"/>
    </xf>
    <xf borderId="4" fillId="9" fontId="9" numFmtId="0" xfId="0" applyAlignment="1" applyBorder="1" applyFont="1">
      <alignment horizontal="left" shrinkToFit="0" vertical="center" wrapText="1"/>
    </xf>
    <xf borderId="4" fillId="9" fontId="9" numFmtId="164" xfId="0" applyAlignment="1" applyBorder="1" applyFont="1" applyNumberFormat="1">
      <alignment horizontal="center" shrinkToFit="0" vertical="center" wrapText="1"/>
    </xf>
    <xf borderId="4" fillId="14" fontId="9" numFmtId="0" xfId="0" applyAlignment="1" applyBorder="1" applyFont="1">
      <alignment horizontal="left" shrinkToFit="0" vertical="center" wrapText="1"/>
    </xf>
    <xf borderId="4" fillId="14" fontId="9" numFmtId="164" xfId="0" applyAlignment="1" applyBorder="1" applyFont="1" applyNumberFormat="1">
      <alignment horizontal="center" shrinkToFit="0" vertical="center" wrapText="1"/>
    </xf>
    <xf borderId="0" fillId="0" fontId="23" numFmtId="0" xfId="0" applyAlignment="1" applyFont="1">
      <alignment horizontal="left" shrinkToFit="0" vertical="center" wrapText="1"/>
    </xf>
    <xf borderId="4" fillId="0" fontId="10" numFmtId="10" xfId="0" applyAlignment="1" applyBorder="1" applyFont="1" applyNumberFormat="1">
      <alignment horizontal="center" shrinkToFit="0" vertical="center" wrapText="1"/>
    </xf>
    <xf borderId="4" fillId="0" fontId="10" numFmtId="2" xfId="0" applyAlignment="1" applyBorder="1" applyFont="1" applyNumberFormat="1">
      <alignment horizontal="center" shrinkToFit="0" vertical="center" wrapText="1"/>
    </xf>
    <xf borderId="4" fillId="8" fontId="10" numFmtId="10" xfId="0" applyAlignment="1" applyBorder="1" applyFont="1" applyNumberFormat="1">
      <alignment horizontal="center" shrinkToFit="0" vertical="center" wrapText="1"/>
    </xf>
    <xf borderId="4" fillId="14" fontId="9" numFmtId="10" xfId="0" applyAlignment="1" applyBorder="1" applyFont="1" applyNumberFormat="1">
      <alignment horizontal="center" shrinkToFit="0" vertical="center" wrapText="1"/>
    </xf>
    <xf borderId="4" fillId="8" fontId="9" numFmtId="166" xfId="0" applyAlignment="1" applyBorder="1" applyFont="1" applyNumberFormat="1">
      <alignment horizontal="center" shrinkToFit="0" vertical="center" wrapText="1"/>
    </xf>
    <xf borderId="4" fillId="0" fontId="17" numFmtId="0" xfId="0" applyAlignment="1" applyBorder="1" applyFont="1">
      <alignment horizontal="left" shrinkToFit="0" vertical="center" wrapText="1"/>
    </xf>
    <xf borderId="4" fillId="0" fontId="9" numFmtId="166" xfId="0" applyAlignment="1" applyBorder="1" applyFont="1" applyNumberFormat="1">
      <alignment horizontal="center" shrinkToFit="0" vertical="center" wrapText="1"/>
    </xf>
    <xf borderId="4" fillId="14" fontId="15" numFmtId="166" xfId="0" applyAlignment="1" applyBorder="1" applyFont="1" applyNumberFormat="1">
      <alignment horizontal="center" shrinkToFit="0" vertical="center" wrapText="1"/>
    </xf>
    <xf borderId="4" fillId="9" fontId="9" numFmtId="166" xfId="0" applyAlignment="1" applyBorder="1" applyFont="1" applyNumberFormat="1">
      <alignment horizontal="center" shrinkToFit="0" vertical="center" wrapText="1"/>
    </xf>
    <xf borderId="4" fillId="4" fontId="6" numFmtId="0" xfId="0" applyAlignment="1" applyBorder="1" applyFont="1">
      <alignment horizontal="center" shrinkToFit="0" vertical="center" wrapText="1"/>
    </xf>
    <xf borderId="4" fillId="4" fontId="6" numFmtId="166" xfId="0" applyAlignment="1" applyBorder="1" applyFont="1" applyNumberFormat="1">
      <alignment horizontal="center" shrinkToFit="0" vertical="center" wrapText="1"/>
    </xf>
    <xf borderId="4" fillId="4" fontId="6" numFmtId="0" xfId="0" applyAlignment="1" applyBorder="1" applyFont="1">
      <alignment horizontal="left" shrinkToFit="0" vertical="center" wrapText="1"/>
    </xf>
    <xf borderId="4" fillId="0" fontId="10" numFmtId="0" xfId="0" applyAlignment="1" applyBorder="1" applyFont="1">
      <alignment horizontal="center" shrinkToFit="0" vertical="center" wrapText="1"/>
    </xf>
    <xf borderId="0" fillId="0" fontId="10" numFmtId="164" xfId="0" applyAlignment="1" applyFont="1" applyNumberFormat="1">
      <alignment horizontal="center" shrinkToFit="0" vertical="center" wrapText="1"/>
    </xf>
    <xf borderId="4" fillId="9" fontId="9" numFmtId="165" xfId="0" applyAlignment="1" applyBorder="1" applyFont="1" applyNumberFormat="1">
      <alignment horizontal="center" shrinkToFit="0" vertical="center" wrapText="1"/>
    </xf>
    <xf borderId="4" fillId="14" fontId="9" numFmtId="166" xfId="0" applyAlignment="1" applyBorder="1" applyFont="1" applyNumberFormat="1">
      <alignment horizontal="center" shrinkToFit="0" vertical="center" wrapText="1"/>
    </xf>
    <xf borderId="0" fillId="0" fontId="10" numFmtId="0" xfId="0" applyAlignment="1" applyFont="1">
      <alignment horizontal="left" shrinkToFit="0" vertical="center" wrapText="1"/>
    </xf>
    <xf borderId="0" fillId="0" fontId="11" numFmtId="165" xfId="0" applyAlignment="1" applyFont="1" applyNumberFormat="1">
      <alignment horizontal="center" shrinkToFit="0" vertical="center" wrapText="1"/>
    </xf>
    <xf borderId="0" fillId="0" fontId="9" numFmtId="0" xfId="0" applyAlignment="1" applyFont="1">
      <alignment horizontal="left" shrinkToFit="0" vertical="center" wrapText="1"/>
    </xf>
    <xf borderId="0" fillId="0" fontId="9" numFmtId="166" xfId="0" applyAlignment="1" applyFont="1" applyNumberFormat="1">
      <alignment horizontal="center" shrinkToFit="0" vertical="center" wrapText="1"/>
    </xf>
    <xf borderId="4" fillId="3" fontId="6" numFmtId="166" xfId="0" applyAlignment="1" applyBorder="1" applyFont="1" applyNumberFormat="1">
      <alignment horizontal="center" shrinkToFit="0" vertical="center" wrapText="1"/>
    </xf>
    <xf borderId="4" fillId="3" fontId="6" numFmtId="10"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center" wrapText="1"/>
    </xf>
    <xf borderId="4" fillId="0" fontId="15" numFmtId="170"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4" fillId="4" fontId="9" numFmtId="0" xfId="0" applyAlignment="1" applyBorder="1" applyFont="1">
      <alignment shrinkToFit="0" vertical="bottom" wrapText="0"/>
    </xf>
    <xf borderId="4" fillId="4" fontId="9" numFmtId="170" xfId="0" applyAlignment="1" applyBorder="1" applyFont="1" applyNumberFormat="1">
      <alignment horizontal="center" shrinkToFit="0" vertical="center" wrapText="1"/>
    </xf>
    <xf borderId="4" fillId="14" fontId="9" numFmtId="165" xfId="0" applyAlignment="1" applyBorder="1" applyFont="1" applyNumberFormat="1">
      <alignment horizontal="center" shrinkToFit="0" vertical="center" wrapText="1"/>
    </xf>
    <xf borderId="4" fillId="0" fontId="11" numFmtId="171" xfId="0" applyAlignment="1" applyBorder="1" applyFont="1" applyNumberFormat="1">
      <alignment horizontal="center" shrinkToFit="0" vertical="center" wrapText="1"/>
    </xf>
    <xf borderId="4" fillId="0" fontId="10" numFmtId="170" xfId="0" applyAlignment="1" applyBorder="1" applyFont="1" applyNumberFormat="1">
      <alignment horizontal="center" shrinkToFit="0" vertical="center" wrapText="1"/>
    </xf>
    <xf borderId="5" fillId="0" fontId="5" numFmtId="0" xfId="0" applyAlignment="1" applyBorder="1" applyFont="1">
      <alignment horizontal="left" shrinkToFit="0" vertical="center" wrapText="1"/>
    </xf>
    <xf borderId="4" fillId="8" fontId="9" numFmtId="165" xfId="0" applyAlignment="1" applyBorder="1" applyFont="1" applyNumberFormat="1">
      <alignment horizontal="center" shrinkToFit="0" vertical="center" wrapText="1"/>
    </xf>
    <xf borderId="4" fillId="0" fontId="9"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2.0"/>
    <col customWidth="1" min="3" max="3" width="17.0"/>
    <col customWidth="1" min="4" max="4" width="54.0"/>
    <col customWidth="1" min="5" max="26" width="8.71"/>
  </cols>
  <sheetData>
    <row r="1">
      <c r="A1" s="1"/>
      <c r="B1" s="1"/>
      <c r="C1" s="1"/>
      <c r="D1" s="1"/>
    </row>
    <row r="2" ht="27.75" customHeight="1">
      <c r="A2" s="1"/>
      <c r="B2" s="2" t="s">
        <v>0</v>
      </c>
      <c r="C2" s="4"/>
      <c r="D2" s="5"/>
    </row>
    <row r="3" ht="15.0" customHeight="1">
      <c r="A3" s="1"/>
      <c r="B3" s="6" t="s">
        <v>6</v>
      </c>
    </row>
    <row r="4">
      <c r="A4" s="1"/>
      <c r="B4" s="1"/>
      <c r="C4" s="1"/>
      <c r="D4" s="1"/>
    </row>
    <row r="5" ht="15.0" customHeight="1">
      <c r="A5" s="1"/>
      <c r="B5" s="8" t="s">
        <v>10</v>
      </c>
      <c r="C5" s="12"/>
      <c r="D5" s="12"/>
    </row>
    <row r="6" ht="15.0" customHeight="1">
      <c r="A6" s="1"/>
      <c r="B6" s="16" t="s">
        <v>19</v>
      </c>
      <c r="C6" s="20">
        <f>DATOS!K66</f>
        <v>166.34</v>
      </c>
      <c r="D6" s="22" t="s">
        <v>32</v>
      </c>
    </row>
    <row r="7" ht="15.0" customHeight="1">
      <c r="A7" s="1"/>
      <c r="B7" s="16" t="s">
        <v>34</v>
      </c>
      <c r="C7" s="19">
        <f>DATOS!K66*DATOS!K67</f>
        <v>3318.483</v>
      </c>
      <c r="D7" s="22" t="s">
        <v>38</v>
      </c>
    </row>
    <row r="8" ht="15.0" customHeight="1">
      <c r="A8" s="1"/>
      <c r="B8" s="16" t="s">
        <v>39</v>
      </c>
      <c r="C8" s="19">
        <f>DATOS!E11</f>
        <v>448.7</v>
      </c>
      <c r="D8" s="22" t="s">
        <v>41</v>
      </c>
    </row>
    <row r="9" ht="15.0" customHeight="1">
      <c r="A9" s="1"/>
      <c r="B9" s="16" t="s">
        <v>42</v>
      </c>
      <c r="C9" s="19">
        <f>DATOS!K11</f>
        <v>252.8</v>
      </c>
      <c r="D9" s="22" t="s">
        <v>43</v>
      </c>
    </row>
    <row r="10" ht="15.0" customHeight="1">
      <c r="A10" s="1"/>
      <c r="B10" s="16" t="s">
        <v>44</v>
      </c>
      <c r="C10" s="19">
        <f>DATOS!E29</f>
        <v>77.8</v>
      </c>
      <c r="D10" s="22"/>
    </row>
    <row r="11" ht="15.0" customHeight="1">
      <c r="A11" s="1"/>
      <c r="B11" s="16" t="s">
        <v>46</v>
      </c>
      <c r="C11" s="19">
        <f>DATOS!K29</f>
        <v>26.8</v>
      </c>
      <c r="D11" s="22" t="s">
        <v>47</v>
      </c>
    </row>
    <row r="12" ht="15.0" customHeight="1">
      <c r="A12" s="1"/>
      <c r="B12" s="16" t="s">
        <v>48</v>
      </c>
      <c r="C12" s="19">
        <f>DATOS!K30</f>
        <v>62.2</v>
      </c>
      <c r="D12" s="22" t="s">
        <v>49</v>
      </c>
    </row>
    <row r="13" ht="15.0" customHeight="1">
      <c r="A13" s="1"/>
      <c r="B13" s="16" t="s">
        <v>51</v>
      </c>
      <c r="C13" s="19">
        <f>DATOS!I37</f>
        <v>1868.5</v>
      </c>
      <c r="D13" s="22" t="s">
        <v>52</v>
      </c>
    </row>
    <row r="14" ht="15.0" customHeight="1">
      <c r="A14" s="1"/>
      <c r="B14" s="16" t="s">
        <v>53</v>
      </c>
      <c r="C14" s="19">
        <f>DATOS!I55</f>
        <v>1177.5</v>
      </c>
      <c r="D14" s="22" t="s">
        <v>56</v>
      </c>
    </row>
    <row r="15" ht="15.0" customHeight="1">
      <c r="A15" s="1"/>
      <c r="B15" s="16" t="s">
        <v>57</v>
      </c>
      <c r="C15" s="19">
        <f>DATOS!I37-DATOS!I55</f>
        <v>691</v>
      </c>
      <c r="D15" s="22" t="s">
        <v>58</v>
      </c>
    </row>
    <row r="16" ht="15.0" customHeight="1">
      <c r="A16" s="1"/>
      <c r="B16" s="16" t="s">
        <v>59</v>
      </c>
      <c r="C16" s="19">
        <f>DATOS!I68</f>
        <v>4500</v>
      </c>
      <c r="D16" s="22" t="s">
        <v>60</v>
      </c>
    </row>
    <row r="17">
      <c r="A17" s="1"/>
      <c r="B17" s="1"/>
      <c r="C17" s="1"/>
      <c r="D17" s="1"/>
    </row>
    <row r="18" ht="15.0" customHeight="1">
      <c r="A18" s="1"/>
      <c r="B18" s="8" t="s">
        <v>62</v>
      </c>
      <c r="C18" s="12"/>
      <c r="D18" s="12"/>
    </row>
    <row r="19" ht="31.5" customHeight="1">
      <c r="A19" s="1"/>
      <c r="B19" s="16" t="s">
        <v>64</v>
      </c>
      <c r="C19" s="26" t="s">
        <v>67</v>
      </c>
      <c r="D19" s="28" t="s">
        <v>74</v>
      </c>
    </row>
    <row r="20" ht="31.5" customHeight="1">
      <c r="A20" s="1"/>
      <c r="B20" s="16" t="s">
        <v>78</v>
      </c>
      <c r="C20" s="26" t="s">
        <v>79</v>
      </c>
      <c r="D20" s="28" t="s">
        <v>80</v>
      </c>
    </row>
    <row r="21" ht="31.5" customHeight="1">
      <c r="A21" s="1"/>
      <c r="B21" s="16" t="s">
        <v>81</v>
      </c>
      <c r="C21" s="29" t="s">
        <v>82</v>
      </c>
      <c r="D21" s="28" t="s">
        <v>84</v>
      </c>
    </row>
    <row r="22" ht="31.5" customHeight="1">
      <c r="A22" s="1"/>
      <c r="B22" s="16" t="s">
        <v>85</v>
      </c>
      <c r="C22" s="29" t="s">
        <v>86</v>
      </c>
      <c r="D22" s="28" t="s">
        <v>87</v>
      </c>
    </row>
    <row r="23" ht="31.5" customHeight="1">
      <c r="A23" s="1"/>
      <c r="B23" s="16" t="s">
        <v>88</v>
      </c>
      <c r="C23" s="26" t="s">
        <v>90</v>
      </c>
      <c r="D23" s="28" t="s">
        <v>91</v>
      </c>
    </row>
    <row r="24" ht="31.5" customHeight="1">
      <c r="A24" s="1"/>
      <c r="B24" s="16" t="s">
        <v>93</v>
      </c>
      <c r="C24" s="32" t="s">
        <v>94</v>
      </c>
      <c r="D24" s="28" t="s">
        <v>95</v>
      </c>
    </row>
    <row r="25" ht="31.5" customHeight="1">
      <c r="A25" s="1"/>
      <c r="B25" s="16" t="s">
        <v>96</v>
      </c>
      <c r="C25" s="26" t="s">
        <v>98</v>
      </c>
      <c r="D25" s="28" t="s">
        <v>99</v>
      </c>
    </row>
    <row r="26" ht="15.75" customHeight="1">
      <c r="A26" s="1"/>
      <c r="B26" s="1"/>
      <c r="C26" s="1"/>
      <c r="D26" s="1"/>
    </row>
    <row r="27" ht="15.0" customHeight="1">
      <c r="A27" s="1"/>
      <c r="B27" s="8" t="s">
        <v>101</v>
      </c>
      <c r="C27" s="12"/>
      <c r="D27" s="12"/>
    </row>
    <row r="28" ht="15.0" customHeight="1">
      <c r="A28" s="1"/>
      <c r="B28" s="34" t="s">
        <v>102</v>
      </c>
      <c r="C28" s="36" t="s">
        <v>104</v>
      </c>
      <c r="D28" s="13"/>
    </row>
    <row r="29" ht="15.0" customHeight="1">
      <c r="A29" s="1"/>
      <c r="B29" s="34" t="s">
        <v>107</v>
      </c>
      <c r="C29" s="36" t="s">
        <v>108</v>
      </c>
      <c r="D29" s="13"/>
    </row>
    <row r="30" ht="15.0" customHeight="1">
      <c r="A30" s="1"/>
      <c r="B30" s="34" t="s">
        <v>81</v>
      </c>
      <c r="C30" s="36" t="s">
        <v>110</v>
      </c>
      <c r="D30" s="13"/>
    </row>
    <row r="31" ht="15.0" customHeight="1">
      <c r="A31" s="1"/>
      <c r="B31" s="34" t="s">
        <v>114</v>
      </c>
      <c r="C31" s="36" t="s">
        <v>115</v>
      </c>
      <c r="D31" s="13"/>
    </row>
    <row r="32" ht="15.0" customHeight="1">
      <c r="A32" s="1"/>
      <c r="B32" s="34" t="s">
        <v>93</v>
      </c>
      <c r="C32" s="36" t="s">
        <v>120</v>
      </c>
      <c r="D32" s="13"/>
    </row>
    <row r="33" ht="15.75" customHeight="1">
      <c r="A33" s="1"/>
      <c r="B33" s="1"/>
      <c r="C33" s="1"/>
      <c r="D33" s="1"/>
    </row>
    <row r="34" ht="15.0" customHeight="1">
      <c r="A34" s="1"/>
      <c r="B34" s="38" t="s">
        <v>126</v>
      </c>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8">
    <mergeCell ref="B2:D2"/>
    <mergeCell ref="B3:D3"/>
    <mergeCell ref="C28:D28"/>
    <mergeCell ref="C29:D29"/>
    <mergeCell ref="C30:D30"/>
    <mergeCell ref="C31:D31"/>
    <mergeCell ref="C32:D32"/>
    <mergeCell ref="B34:D3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0.0"/>
    <col customWidth="1" min="3" max="11" width="11.0"/>
    <col customWidth="1" min="12" max="12" width="44.0"/>
    <col customWidth="1" min="13" max="26" width="8.71"/>
  </cols>
  <sheetData>
    <row r="1">
      <c r="A1" s="1"/>
      <c r="B1" s="1"/>
      <c r="C1" s="1"/>
      <c r="D1" s="1"/>
      <c r="E1" s="1"/>
      <c r="F1" s="1"/>
      <c r="G1" s="1"/>
      <c r="H1" s="1"/>
      <c r="I1" s="1"/>
      <c r="J1" s="1"/>
      <c r="K1" s="1"/>
      <c r="L1" s="1"/>
    </row>
    <row r="2" ht="24.0" customHeight="1">
      <c r="A2" s="1"/>
      <c r="B2" s="3" t="s">
        <v>2</v>
      </c>
      <c r="C2" s="4"/>
      <c r="D2" s="4"/>
      <c r="E2" s="4"/>
      <c r="F2" s="4"/>
      <c r="G2" s="4"/>
      <c r="H2" s="4"/>
      <c r="I2" s="4"/>
      <c r="J2" s="4"/>
      <c r="K2" s="4"/>
      <c r="L2" s="5"/>
    </row>
    <row r="3" ht="30.0" customHeight="1">
      <c r="A3" s="1"/>
      <c r="B3" s="6" t="s">
        <v>5</v>
      </c>
    </row>
    <row r="4">
      <c r="A4" s="1"/>
      <c r="B4" s="1"/>
      <c r="C4" s="1"/>
      <c r="D4" s="1"/>
      <c r="E4" s="1"/>
      <c r="F4" s="1"/>
      <c r="G4" s="1"/>
      <c r="H4" s="1"/>
      <c r="I4" s="1"/>
      <c r="J4" s="1"/>
      <c r="K4" s="1"/>
      <c r="L4" s="1"/>
    </row>
    <row r="5" ht="15.0" customHeight="1">
      <c r="A5" s="1"/>
      <c r="B5" s="1"/>
      <c r="C5" s="21" t="s">
        <v>9</v>
      </c>
      <c r="D5" s="10"/>
      <c r="E5" s="13"/>
      <c r="F5" s="15" t="s">
        <v>35</v>
      </c>
      <c r="G5" s="13"/>
      <c r="H5" s="15" t="s">
        <v>37</v>
      </c>
      <c r="I5" s="13"/>
      <c r="J5" s="24" t="s">
        <v>40</v>
      </c>
      <c r="K5" s="13"/>
      <c r="L5" s="1"/>
    </row>
    <row r="6" ht="15.0" customHeight="1">
      <c r="A6" s="1"/>
      <c r="B6" s="25" t="s">
        <v>22</v>
      </c>
      <c r="C6" s="11" t="s">
        <v>61</v>
      </c>
      <c r="D6" s="11" t="s">
        <v>63</v>
      </c>
      <c r="E6" s="11" t="s">
        <v>65</v>
      </c>
      <c r="F6" s="11" t="s">
        <v>68</v>
      </c>
      <c r="G6" s="11" t="s">
        <v>69</v>
      </c>
      <c r="H6" s="11" t="s">
        <v>70</v>
      </c>
      <c r="I6" s="11" t="s">
        <v>71</v>
      </c>
      <c r="J6" s="11" t="s">
        <v>72</v>
      </c>
      <c r="K6" s="11" t="s">
        <v>73</v>
      </c>
      <c r="L6" s="7" t="s">
        <v>75</v>
      </c>
    </row>
    <row r="7" ht="15.0" customHeight="1">
      <c r="A7" s="1"/>
      <c r="B7" s="30" t="s">
        <v>77</v>
      </c>
      <c r="C7" s="31"/>
      <c r="D7" s="31"/>
      <c r="E7" s="31"/>
      <c r="F7" s="31"/>
      <c r="G7" s="31"/>
      <c r="H7" s="31"/>
      <c r="I7" s="31"/>
      <c r="J7" s="31"/>
      <c r="K7" s="31"/>
      <c r="L7" s="31"/>
    </row>
    <row r="8" ht="15.0" customHeight="1">
      <c r="A8" s="1"/>
      <c r="B8" s="17" t="s">
        <v>31</v>
      </c>
      <c r="C8" s="33"/>
      <c r="D8" s="33"/>
      <c r="E8" s="33"/>
      <c r="F8" s="35">
        <v>51.3</v>
      </c>
      <c r="G8" s="35">
        <v>41.6</v>
      </c>
      <c r="H8" s="35">
        <v>125.7</v>
      </c>
      <c r="I8" s="35">
        <v>100.0</v>
      </c>
      <c r="J8" s="35">
        <v>177.0</v>
      </c>
      <c r="K8" s="35">
        <v>141.6</v>
      </c>
      <c r="L8" s="22" t="s">
        <v>106</v>
      </c>
    </row>
    <row r="9" ht="15.0" customHeight="1">
      <c r="A9" s="1"/>
      <c r="B9" s="17" t="s">
        <v>50</v>
      </c>
      <c r="C9" s="33"/>
      <c r="D9" s="33"/>
      <c r="E9" s="33"/>
      <c r="F9" s="35">
        <v>0.0</v>
      </c>
      <c r="G9" s="35">
        <v>3.0</v>
      </c>
      <c r="H9" s="35">
        <v>0.0</v>
      </c>
      <c r="I9" s="35">
        <v>53.4</v>
      </c>
      <c r="J9" s="35">
        <v>0.0</v>
      </c>
      <c r="K9" s="35">
        <v>56.4</v>
      </c>
      <c r="L9" s="22" t="s">
        <v>109</v>
      </c>
    </row>
    <row r="10" ht="15.0" customHeight="1">
      <c r="A10" s="1"/>
      <c r="B10" s="17" t="s">
        <v>76</v>
      </c>
      <c r="C10" s="37">
        <v>51.2</v>
      </c>
      <c r="D10" s="37">
        <v>92.1</v>
      </c>
      <c r="E10" s="37">
        <v>102.5</v>
      </c>
      <c r="F10" s="35">
        <v>21.8</v>
      </c>
      <c r="G10" s="35">
        <v>32.1</v>
      </c>
      <c r="H10" s="35">
        <v>28.8</v>
      </c>
      <c r="I10" s="35">
        <v>22.7</v>
      </c>
      <c r="J10" s="35">
        <v>50.6</v>
      </c>
      <c r="K10" s="35">
        <v>54.8</v>
      </c>
      <c r="L10" s="22" t="s">
        <v>112</v>
      </c>
    </row>
    <row r="11" ht="15.0" customHeight="1">
      <c r="A11" s="1"/>
      <c r="B11" s="16" t="s">
        <v>100</v>
      </c>
      <c r="C11" s="37">
        <v>320.2</v>
      </c>
      <c r="D11" s="37">
        <v>442.0</v>
      </c>
      <c r="E11" s="37">
        <v>448.7</v>
      </c>
      <c r="F11" s="35">
        <v>73.1</v>
      </c>
      <c r="G11" s="35">
        <v>76.7</v>
      </c>
      <c r="H11" s="35">
        <v>154.5</v>
      </c>
      <c r="I11" s="35">
        <v>176.1</v>
      </c>
      <c r="J11" s="35">
        <v>227.6</v>
      </c>
      <c r="K11" s="35">
        <v>252.8</v>
      </c>
      <c r="L11" s="22" t="s">
        <v>116</v>
      </c>
    </row>
    <row r="12" ht="15.0" customHeight="1">
      <c r="A12" s="1"/>
      <c r="B12" s="17" t="s">
        <v>117</v>
      </c>
      <c r="C12" s="33"/>
      <c r="D12" s="33"/>
      <c r="E12" s="33"/>
      <c r="F12" s="35">
        <v>40.2</v>
      </c>
      <c r="G12" s="35">
        <v>45.2</v>
      </c>
      <c r="H12" s="35">
        <v>75.0</v>
      </c>
      <c r="I12" s="35">
        <v>101.8</v>
      </c>
      <c r="J12" s="35">
        <v>95.1</v>
      </c>
      <c r="K12" s="35">
        <v>118.5</v>
      </c>
      <c r="L12" s="22" t="s">
        <v>121</v>
      </c>
    </row>
    <row r="13" ht="15.0" customHeight="1">
      <c r="A13" s="1"/>
      <c r="B13" s="17" t="s">
        <v>122</v>
      </c>
      <c r="C13" s="33"/>
      <c r="D13" s="33"/>
      <c r="E13" s="33"/>
      <c r="F13" s="35">
        <v>20.1</v>
      </c>
      <c r="G13" s="35">
        <v>29.3</v>
      </c>
      <c r="H13" s="35">
        <v>25.6</v>
      </c>
      <c r="I13" s="35">
        <v>24.4</v>
      </c>
      <c r="J13" s="35">
        <v>45.7</v>
      </c>
      <c r="K13" s="35">
        <v>52.9</v>
      </c>
      <c r="L13" s="22" t="s">
        <v>123</v>
      </c>
    </row>
    <row r="14" ht="15.0" customHeight="1">
      <c r="A14" s="1"/>
      <c r="B14" s="17" t="s">
        <v>124</v>
      </c>
      <c r="C14" s="37">
        <v>208.1</v>
      </c>
      <c r="D14" s="37">
        <v>330.5</v>
      </c>
      <c r="E14" s="37">
        <v>331.2</v>
      </c>
      <c r="F14" s="35">
        <v>40.2</v>
      </c>
      <c r="G14" s="35">
        <v>45.2</v>
      </c>
      <c r="H14" s="35">
        <v>100.6</v>
      </c>
      <c r="I14" s="35">
        <v>126.2</v>
      </c>
      <c r="J14" s="35">
        <v>140.8</v>
      </c>
      <c r="K14" s="35">
        <v>171.4</v>
      </c>
      <c r="L14" s="22" t="s">
        <v>128</v>
      </c>
    </row>
    <row r="15" ht="15.0" customHeight="1">
      <c r="A15" s="1"/>
      <c r="B15" s="16" t="s">
        <v>129</v>
      </c>
      <c r="C15" s="37">
        <v>112.1</v>
      </c>
      <c r="D15" s="37">
        <v>111.5</v>
      </c>
      <c r="E15" s="37">
        <v>117.5</v>
      </c>
      <c r="F15" s="35">
        <v>32.9</v>
      </c>
      <c r="G15" s="35">
        <v>31.5</v>
      </c>
      <c r="H15" s="35">
        <v>53.9</v>
      </c>
      <c r="I15" s="35">
        <v>49.9</v>
      </c>
      <c r="J15" s="35">
        <v>86.8</v>
      </c>
      <c r="K15" s="35">
        <v>81.4</v>
      </c>
      <c r="L15" s="22" t="s">
        <v>130</v>
      </c>
    </row>
    <row r="16" ht="15.0" customHeight="1">
      <c r="A16" s="1"/>
      <c r="B16" s="17" t="s">
        <v>131</v>
      </c>
      <c r="C16" s="37">
        <v>105.1</v>
      </c>
      <c r="D16" s="37">
        <v>93.9</v>
      </c>
      <c r="E16" s="37">
        <v>111.5</v>
      </c>
      <c r="F16" s="35">
        <v>31.2</v>
      </c>
      <c r="G16" s="35">
        <v>30.1</v>
      </c>
      <c r="H16" s="35">
        <v>50.7</v>
      </c>
      <c r="I16" s="35">
        <v>51.6</v>
      </c>
      <c r="J16" s="39"/>
      <c r="K16" s="39"/>
      <c r="L16" s="22" t="s">
        <v>133</v>
      </c>
    </row>
    <row r="17" ht="15.0" customHeight="1">
      <c r="A17" s="1"/>
      <c r="B17" s="17" t="s">
        <v>134</v>
      </c>
      <c r="C17" s="37">
        <v>7.0</v>
      </c>
      <c r="D17" s="37">
        <v>17.6</v>
      </c>
      <c r="E17" s="37">
        <v>6.0</v>
      </c>
      <c r="F17" s="35">
        <v>1.7</v>
      </c>
      <c r="G17" s="35">
        <v>1.4</v>
      </c>
      <c r="H17" s="35">
        <v>3.2</v>
      </c>
      <c r="I17" s="35">
        <v>-1.7</v>
      </c>
      <c r="J17" s="39"/>
      <c r="K17" s="39"/>
      <c r="L17" s="22" t="s">
        <v>135</v>
      </c>
    </row>
    <row r="18" ht="15.0" customHeight="1">
      <c r="A18" s="1"/>
      <c r="B18" s="17" t="s">
        <v>136</v>
      </c>
      <c r="C18" s="33"/>
      <c r="D18" s="33"/>
      <c r="E18" s="33"/>
      <c r="F18" s="35">
        <v>3.0</v>
      </c>
      <c r="G18" s="35">
        <v>18.9</v>
      </c>
      <c r="H18" s="35">
        <v>3.3</v>
      </c>
      <c r="I18" s="35">
        <v>10.8</v>
      </c>
      <c r="J18" s="35">
        <v>6.3</v>
      </c>
      <c r="K18" s="35">
        <v>29.7</v>
      </c>
      <c r="L18" s="22" t="s">
        <v>139</v>
      </c>
    </row>
    <row r="19" ht="15.0" customHeight="1">
      <c r="A19" s="1"/>
      <c r="B19" s="17" t="s">
        <v>140</v>
      </c>
      <c r="C19" s="33"/>
      <c r="D19" s="33"/>
      <c r="E19" s="33"/>
      <c r="F19" s="35">
        <v>8.3</v>
      </c>
      <c r="G19" s="35">
        <v>10.0</v>
      </c>
      <c r="H19" s="35">
        <v>13.4</v>
      </c>
      <c r="I19" s="35">
        <v>26.2</v>
      </c>
      <c r="J19" s="35">
        <v>21.7</v>
      </c>
      <c r="K19" s="35">
        <v>36.2</v>
      </c>
      <c r="L19" s="22" t="s">
        <v>141</v>
      </c>
    </row>
    <row r="20" ht="15.0" customHeight="1">
      <c r="A20" s="1"/>
      <c r="B20" s="17" t="s">
        <v>142</v>
      </c>
      <c r="C20" s="33"/>
      <c r="D20" s="33"/>
      <c r="E20" s="33"/>
      <c r="F20" s="35">
        <v>1.1</v>
      </c>
      <c r="G20" s="35">
        <v>1.8</v>
      </c>
      <c r="H20" s="35">
        <v>3.7</v>
      </c>
      <c r="I20" s="35">
        <v>2.5</v>
      </c>
      <c r="J20" s="35">
        <v>4.8</v>
      </c>
      <c r="K20" s="35">
        <v>4.3</v>
      </c>
      <c r="L20" s="22" t="s">
        <v>143</v>
      </c>
    </row>
    <row r="21" ht="15.0" customHeight="1">
      <c r="A21" s="1"/>
      <c r="B21" s="16" t="s">
        <v>144</v>
      </c>
      <c r="C21" s="33"/>
      <c r="D21" s="33"/>
      <c r="E21" s="37">
        <v>50.2</v>
      </c>
      <c r="F21" s="35">
        <v>20.5</v>
      </c>
      <c r="G21" s="35">
        <v>0.8</v>
      </c>
      <c r="H21" s="35">
        <v>33.5</v>
      </c>
      <c r="I21" s="35">
        <v>10.4</v>
      </c>
      <c r="J21" s="35">
        <v>54.0</v>
      </c>
      <c r="K21" s="35">
        <v>11.2</v>
      </c>
      <c r="L21" s="22" t="s">
        <v>146</v>
      </c>
    </row>
    <row r="22" ht="15.0" customHeight="1">
      <c r="A22" s="1"/>
      <c r="B22" s="17" t="s">
        <v>147</v>
      </c>
      <c r="C22" s="33"/>
      <c r="D22" s="33"/>
      <c r="E22" s="33"/>
      <c r="F22" s="35">
        <v>0.9</v>
      </c>
      <c r="G22" s="35">
        <v>1.0</v>
      </c>
      <c r="H22" s="35">
        <v>1.0</v>
      </c>
      <c r="I22" s="35">
        <v>1.0</v>
      </c>
      <c r="J22" s="35">
        <v>1.9</v>
      </c>
      <c r="K22" s="35">
        <v>2.0</v>
      </c>
      <c r="L22" s="22" t="s">
        <v>150</v>
      </c>
    </row>
    <row r="23" ht="15.0" customHeight="1">
      <c r="A23" s="1"/>
      <c r="B23" s="17" t="s">
        <v>151</v>
      </c>
      <c r="C23" s="33"/>
      <c r="D23" s="33"/>
      <c r="E23" s="33"/>
      <c r="F23" s="35">
        <v>3.4</v>
      </c>
      <c r="G23" s="35">
        <v>4.0</v>
      </c>
      <c r="H23" s="35">
        <v>3.1</v>
      </c>
      <c r="I23" s="35">
        <v>4.2</v>
      </c>
      <c r="J23" s="35">
        <v>6.5</v>
      </c>
      <c r="K23" s="35">
        <v>8.2</v>
      </c>
      <c r="L23" s="22" t="s">
        <v>154</v>
      </c>
    </row>
    <row r="24" ht="15.0" customHeight="1">
      <c r="A24" s="1"/>
      <c r="B24" s="17" t="s">
        <v>155</v>
      </c>
      <c r="C24" s="33"/>
      <c r="D24" s="33"/>
      <c r="E24" s="33"/>
      <c r="F24" s="35">
        <v>7.3</v>
      </c>
      <c r="G24" s="35">
        <v>17.0</v>
      </c>
      <c r="H24" s="35">
        <v>8.0</v>
      </c>
      <c r="I24" s="35">
        <v>16.3</v>
      </c>
      <c r="J24" s="35">
        <v>15.3</v>
      </c>
      <c r="K24" s="35">
        <v>33.3</v>
      </c>
      <c r="L24" s="22" t="s">
        <v>156</v>
      </c>
    </row>
    <row r="25" ht="15.0" customHeight="1">
      <c r="A25" s="1"/>
      <c r="B25" s="17" t="s">
        <v>157</v>
      </c>
      <c r="C25" s="33"/>
      <c r="D25" s="33"/>
      <c r="E25" s="33"/>
      <c r="F25" s="35">
        <v>11.8</v>
      </c>
      <c r="G25" s="35">
        <v>0.0</v>
      </c>
      <c r="H25" s="35">
        <v>0.0</v>
      </c>
      <c r="I25" s="35">
        <v>0.0</v>
      </c>
      <c r="J25" s="35">
        <v>11.8</v>
      </c>
      <c r="K25" s="35">
        <v>0.0</v>
      </c>
      <c r="L25" s="22" t="s">
        <v>158</v>
      </c>
    </row>
    <row r="26" ht="15.0" customHeight="1">
      <c r="A26" s="1"/>
      <c r="B26" s="17" t="s">
        <v>159</v>
      </c>
      <c r="C26" s="33"/>
      <c r="D26" s="33"/>
      <c r="E26" s="33"/>
      <c r="F26" s="35">
        <v>0.0</v>
      </c>
      <c r="G26" s="35">
        <v>0.2</v>
      </c>
      <c r="H26" s="35">
        <v>0.0</v>
      </c>
      <c r="I26" s="35">
        <v>-0.1</v>
      </c>
      <c r="J26" s="35">
        <v>0.1</v>
      </c>
      <c r="K26" s="35">
        <v>0.2</v>
      </c>
      <c r="L26" s="22" t="s">
        <v>160</v>
      </c>
    </row>
    <row r="27" ht="15.0" customHeight="1">
      <c r="A27" s="1"/>
      <c r="B27" s="17" t="s">
        <v>161</v>
      </c>
      <c r="C27" s="33"/>
      <c r="D27" s="33"/>
      <c r="E27" s="33"/>
      <c r="F27" s="35">
        <v>35.2</v>
      </c>
      <c r="G27" s="35">
        <v>12.5</v>
      </c>
      <c r="H27" s="35">
        <v>37.4</v>
      </c>
      <c r="I27" s="35">
        <v>21.6</v>
      </c>
      <c r="J27" s="35">
        <v>72.6</v>
      </c>
      <c r="K27" s="35">
        <v>34.1</v>
      </c>
      <c r="L27" s="22" t="s">
        <v>162</v>
      </c>
    </row>
    <row r="28" ht="15.0" customHeight="1">
      <c r="A28" s="1"/>
      <c r="B28" s="17" t="s">
        <v>163</v>
      </c>
      <c r="C28" s="33"/>
      <c r="D28" s="33"/>
      <c r="E28" s="33"/>
      <c r="F28" s="35">
        <v>8.0</v>
      </c>
      <c r="G28" s="35">
        <v>2.5</v>
      </c>
      <c r="H28" s="35">
        <v>8.5</v>
      </c>
      <c r="I28" s="35">
        <v>4.8</v>
      </c>
      <c r="J28" s="35">
        <v>16.5</v>
      </c>
      <c r="K28" s="35">
        <v>7.3</v>
      </c>
      <c r="L28" s="22" t="s">
        <v>164</v>
      </c>
    </row>
    <row r="29" ht="15.0" customHeight="1">
      <c r="A29" s="1"/>
      <c r="B29" s="16" t="s">
        <v>165</v>
      </c>
      <c r="C29" s="37">
        <v>84.4</v>
      </c>
      <c r="D29" s="37">
        <v>73.2</v>
      </c>
      <c r="E29" s="37">
        <v>77.8</v>
      </c>
      <c r="F29" s="35">
        <v>27.2</v>
      </c>
      <c r="G29" s="35">
        <v>10.0</v>
      </c>
      <c r="H29" s="35">
        <v>28.9</v>
      </c>
      <c r="I29" s="35">
        <v>16.8</v>
      </c>
      <c r="J29" s="35">
        <v>56.1</v>
      </c>
      <c r="K29" s="35">
        <v>26.8</v>
      </c>
      <c r="L29" s="22" t="s">
        <v>167</v>
      </c>
    </row>
    <row r="30" ht="15.0" customHeight="1">
      <c r="A30" s="1"/>
      <c r="B30" s="17" t="s">
        <v>169</v>
      </c>
      <c r="C30" s="33"/>
      <c r="D30" s="33"/>
      <c r="E30" s="33"/>
      <c r="F30" s="39"/>
      <c r="G30" s="39"/>
      <c r="H30" s="35">
        <v>34.5</v>
      </c>
      <c r="I30" s="35">
        <v>38.7</v>
      </c>
      <c r="J30" s="35">
        <v>63.1</v>
      </c>
      <c r="K30" s="35">
        <v>62.2</v>
      </c>
      <c r="L30" s="22" t="s">
        <v>170</v>
      </c>
    </row>
    <row r="31" ht="15.0" customHeight="1">
      <c r="A31" s="1"/>
      <c r="B31" s="17" t="s">
        <v>171</v>
      </c>
      <c r="C31" s="41">
        <v>5.55</v>
      </c>
      <c r="D31" s="33"/>
      <c r="E31" s="33"/>
      <c r="F31" s="42">
        <v>1.6</v>
      </c>
      <c r="G31" s="42">
        <v>0.51</v>
      </c>
      <c r="H31" s="42">
        <v>1.63</v>
      </c>
      <c r="I31" s="42">
        <v>0.85</v>
      </c>
      <c r="J31" s="42">
        <v>3.23</v>
      </c>
      <c r="K31" s="42">
        <v>1.35</v>
      </c>
      <c r="L31" s="22" t="s">
        <v>173</v>
      </c>
    </row>
    <row r="32" ht="15.0" customHeight="1">
      <c r="A32" s="1"/>
      <c r="B32" s="17" t="s">
        <v>174</v>
      </c>
      <c r="C32" s="41">
        <v>5.44</v>
      </c>
      <c r="D32" s="33"/>
      <c r="E32" s="41">
        <v>3.9</v>
      </c>
      <c r="F32" s="42">
        <v>1.6</v>
      </c>
      <c r="G32" s="42">
        <v>0.45</v>
      </c>
      <c r="H32" s="42">
        <v>1.59</v>
      </c>
      <c r="I32" s="42">
        <v>0.77</v>
      </c>
      <c r="J32" s="42">
        <v>3.22</v>
      </c>
      <c r="K32" s="42">
        <v>1.21</v>
      </c>
      <c r="L32" s="22" t="s">
        <v>176</v>
      </c>
    </row>
    <row r="33" ht="15.0" customHeight="1">
      <c r="A33" s="1"/>
      <c r="B33" s="17" t="s">
        <v>178</v>
      </c>
      <c r="C33" s="33"/>
      <c r="D33" s="33"/>
      <c r="E33" s="33"/>
      <c r="F33" s="43">
        <v>16982.0</v>
      </c>
      <c r="G33" s="43">
        <v>19773.0</v>
      </c>
      <c r="H33" s="43">
        <v>17703.0</v>
      </c>
      <c r="I33" s="43">
        <v>19879.0</v>
      </c>
      <c r="J33" s="43">
        <v>17344.0</v>
      </c>
      <c r="K33" s="43">
        <v>19826.0</v>
      </c>
      <c r="L33" s="22" t="s">
        <v>179</v>
      </c>
    </row>
    <row r="34" ht="15.0" customHeight="1">
      <c r="A34" s="1"/>
      <c r="B34" s="17" t="s">
        <v>180</v>
      </c>
      <c r="C34" s="33"/>
      <c r="D34" s="33"/>
      <c r="E34" s="33"/>
      <c r="F34" s="43">
        <v>17048.0</v>
      </c>
      <c r="G34" s="43">
        <v>22446.0</v>
      </c>
      <c r="H34" s="43">
        <v>18121.0</v>
      </c>
      <c r="I34" s="43">
        <v>21891.0</v>
      </c>
      <c r="J34" s="43">
        <v>17406.0</v>
      </c>
      <c r="K34" s="43">
        <v>22114.0</v>
      </c>
      <c r="L34" s="22" t="s">
        <v>181</v>
      </c>
    </row>
    <row r="35" ht="15.0" customHeight="1">
      <c r="A35" s="1"/>
      <c r="B35" s="17" t="s">
        <v>182</v>
      </c>
      <c r="C35" s="33"/>
      <c r="D35" s="33"/>
      <c r="E35" s="33"/>
      <c r="F35" s="39"/>
      <c r="G35" s="39"/>
      <c r="H35" s="39"/>
      <c r="I35" s="39"/>
      <c r="J35" s="35">
        <v>5.4</v>
      </c>
      <c r="K35" s="35">
        <v>5.1</v>
      </c>
      <c r="L35" s="22" t="s">
        <v>184</v>
      </c>
    </row>
    <row r="36" ht="15.0" customHeight="1">
      <c r="A36" s="1"/>
      <c r="B36" s="30" t="s">
        <v>185</v>
      </c>
      <c r="C36" s="31"/>
      <c r="D36" s="31"/>
      <c r="E36" s="31"/>
      <c r="F36" s="31"/>
      <c r="G36" s="31"/>
      <c r="H36" s="31"/>
      <c r="I36" s="31"/>
      <c r="J36" s="31"/>
      <c r="K36" s="31"/>
      <c r="L36" s="31"/>
    </row>
    <row r="37" ht="15.0" customHeight="1">
      <c r="A37" s="1"/>
      <c r="B37" s="17" t="s">
        <v>21</v>
      </c>
      <c r="C37" s="37">
        <v>201.2</v>
      </c>
      <c r="D37" s="37">
        <v>671.4</v>
      </c>
      <c r="E37" s="37">
        <v>1957.2</v>
      </c>
      <c r="F37" s="39"/>
      <c r="G37" s="35">
        <v>1868.2</v>
      </c>
      <c r="H37" s="39"/>
      <c r="I37" s="35">
        <v>1868.5</v>
      </c>
      <c r="J37" s="39"/>
      <c r="K37" s="39"/>
      <c r="L37" s="22" t="s">
        <v>188</v>
      </c>
    </row>
    <row r="38" ht="15.0" customHeight="1">
      <c r="A38" s="1"/>
      <c r="B38" s="17" t="s">
        <v>189</v>
      </c>
      <c r="C38" s="33"/>
      <c r="D38" s="33"/>
      <c r="E38" s="37">
        <v>30.7</v>
      </c>
      <c r="F38" s="39"/>
      <c r="G38" s="35">
        <v>41.8</v>
      </c>
      <c r="H38" s="39"/>
      <c r="I38" s="35">
        <v>25.6</v>
      </c>
      <c r="J38" s="39"/>
      <c r="K38" s="39"/>
      <c r="L38" s="22" t="s">
        <v>190</v>
      </c>
    </row>
    <row r="39" ht="15.0" customHeight="1">
      <c r="A39" s="1"/>
      <c r="B39" s="17" t="s">
        <v>191</v>
      </c>
      <c r="C39" s="33"/>
      <c r="D39" s="33"/>
      <c r="E39" s="37">
        <v>322.9</v>
      </c>
      <c r="F39" s="39"/>
      <c r="G39" s="35">
        <v>336.0</v>
      </c>
      <c r="H39" s="39"/>
      <c r="I39" s="35">
        <v>377.1</v>
      </c>
      <c r="J39" s="39"/>
      <c r="K39" s="39"/>
      <c r="L39" s="22" t="s">
        <v>192</v>
      </c>
    </row>
    <row r="40" ht="15.0" customHeight="1">
      <c r="A40" s="1"/>
      <c r="B40" s="17" t="s">
        <v>193</v>
      </c>
      <c r="C40" s="33"/>
      <c r="D40" s="33"/>
      <c r="E40" s="37">
        <v>40.9</v>
      </c>
      <c r="F40" s="39"/>
      <c r="G40" s="35">
        <v>37.0</v>
      </c>
      <c r="H40" s="39"/>
      <c r="I40" s="35">
        <v>33.2</v>
      </c>
      <c r="J40" s="39"/>
      <c r="K40" s="39"/>
      <c r="L40" s="22" t="s">
        <v>194</v>
      </c>
    </row>
    <row r="41" ht="15.0" customHeight="1">
      <c r="A41" s="1"/>
      <c r="B41" s="17" t="s">
        <v>195</v>
      </c>
      <c r="C41" s="33"/>
      <c r="D41" s="33"/>
      <c r="E41" s="37">
        <v>11.9</v>
      </c>
      <c r="F41" s="39"/>
      <c r="G41" s="35">
        <v>12.4</v>
      </c>
      <c r="H41" s="39"/>
      <c r="I41" s="35">
        <v>12.7</v>
      </c>
      <c r="J41" s="39"/>
      <c r="K41" s="39"/>
      <c r="L41" s="22" t="s">
        <v>197</v>
      </c>
    </row>
    <row r="42" ht="15.0" customHeight="1">
      <c r="A42" s="1"/>
      <c r="B42" s="17" t="s">
        <v>66</v>
      </c>
      <c r="C42" s="33"/>
      <c r="D42" s="33"/>
      <c r="E42" s="37">
        <v>2363.6</v>
      </c>
      <c r="F42" s="39"/>
      <c r="G42" s="35">
        <v>2295.4</v>
      </c>
      <c r="H42" s="39"/>
      <c r="I42" s="35">
        <v>2317.1</v>
      </c>
      <c r="J42" s="39"/>
      <c r="K42" s="39"/>
      <c r="L42" s="22" t="s">
        <v>200</v>
      </c>
    </row>
    <row r="43" ht="15.0" customHeight="1">
      <c r="A43" s="1"/>
      <c r="B43" s="17" t="s">
        <v>83</v>
      </c>
      <c r="C43" s="33"/>
      <c r="D43" s="33"/>
      <c r="E43" s="37">
        <v>29.5</v>
      </c>
      <c r="F43" s="39"/>
      <c r="G43" s="35">
        <v>59.5</v>
      </c>
      <c r="H43" s="39"/>
      <c r="I43" s="35">
        <v>142.5</v>
      </c>
      <c r="J43" s="39"/>
      <c r="K43" s="39"/>
      <c r="L43" s="22" t="s">
        <v>201</v>
      </c>
    </row>
    <row r="44" ht="15.0" customHeight="1">
      <c r="A44" s="1"/>
      <c r="B44" s="17" t="s">
        <v>202</v>
      </c>
      <c r="C44" s="33"/>
      <c r="D44" s="33"/>
      <c r="E44" s="37">
        <v>2.7</v>
      </c>
      <c r="F44" s="39"/>
      <c r="G44" s="35">
        <v>32.8</v>
      </c>
      <c r="H44" s="39"/>
      <c r="I44" s="35">
        <v>33.2</v>
      </c>
      <c r="J44" s="39"/>
      <c r="K44" s="39"/>
      <c r="L44" s="22" t="s">
        <v>203</v>
      </c>
    </row>
    <row r="45" ht="15.0" customHeight="1">
      <c r="A45" s="1"/>
      <c r="B45" s="17" t="s">
        <v>204</v>
      </c>
      <c r="C45" s="33"/>
      <c r="D45" s="33"/>
      <c r="E45" s="37">
        <v>21.2</v>
      </c>
      <c r="F45" s="39"/>
      <c r="G45" s="35">
        <v>19.4</v>
      </c>
      <c r="H45" s="39"/>
      <c r="I45" s="35">
        <v>16.9</v>
      </c>
      <c r="J45" s="39"/>
      <c r="K45" s="39"/>
      <c r="L45" s="22" t="s">
        <v>205</v>
      </c>
    </row>
    <row r="46" ht="15.0" customHeight="1">
      <c r="A46" s="1"/>
      <c r="B46" s="17" t="s">
        <v>206</v>
      </c>
      <c r="C46" s="33"/>
      <c r="D46" s="33"/>
      <c r="E46" s="37">
        <v>21.9</v>
      </c>
      <c r="F46" s="39"/>
      <c r="G46" s="35">
        <v>19.5</v>
      </c>
      <c r="H46" s="39"/>
      <c r="I46" s="35">
        <v>15.0</v>
      </c>
      <c r="J46" s="39"/>
      <c r="K46" s="39"/>
      <c r="L46" s="22" t="s">
        <v>207</v>
      </c>
    </row>
    <row r="47" ht="15.0" customHeight="1">
      <c r="A47" s="1"/>
      <c r="B47" s="17" t="s">
        <v>208</v>
      </c>
      <c r="C47" s="33"/>
      <c r="D47" s="33"/>
      <c r="E47" s="37">
        <v>7.0</v>
      </c>
      <c r="F47" s="39"/>
      <c r="G47" s="35">
        <v>6.6</v>
      </c>
      <c r="H47" s="39"/>
      <c r="I47" s="35">
        <v>6.3</v>
      </c>
      <c r="J47" s="39"/>
      <c r="K47" s="39"/>
      <c r="L47" s="22" t="s">
        <v>209</v>
      </c>
    </row>
    <row r="48" ht="15.0" customHeight="1">
      <c r="A48" s="1"/>
      <c r="B48" s="16" t="s">
        <v>97</v>
      </c>
      <c r="C48" s="33"/>
      <c r="D48" s="33"/>
      <c r="E48" s="37">
        <v>2445.9</v>
      </c>
      <c r="F48" s="39"/>
      <c r="G48" s="35">
        <v>2433.2</v>
      </c>
      <c r="H48" s="39"/>
      <c r="I48" s="35">
        <v>2531.0</v>
      </c>
      <c r="J48" s="39"/>
      <c r="K48" s="39"/>
      <c r="L48" s="22" t="s">
        <v>210</v>
      </c>
    </row>
    <row r="49" ht="15.0" customHeight="1">
      <c r="A49" s="1"/>
      <c r="B49" s="17" t="s">
        <v>211</v>
      </c>
      <c r="C49" s="33"/>
      <c r="D49" s="33"/>
      <c r="E49" s="37">
        <v>41.6</v>
      </c>
      <c r="F49" s="39"/>
      <c r="G49" s="35">
        <v>49.5</v>
      </c>
      <c r="H49" s="39"/>
      <c r="I49" s="35">
        <v>74.0</v>
      </c>
      <c r="J49" s="39"/>
      <c r="K49" s="39"/>
      <c r="L49" s="22" t="s">
        <v>212</v>
      </c>
    </row>
    <row r="50" ht="15.0" customHeight="1">
      <c r="A50" s="1"/>
      <c r="B50" s="17" t="s">
        <v>213</v>
      </c>
      <c r="C50" s="33"/>
      <c r="D50" s="33"/>
      <c r="E50" s="37">
        <v>18.5</v>
      </c>
      <c r="F50" s="39"/>
      <c r="G50" s="35">
        <v>65.7</v>
      </c>
      <c r="H50" s="39"/>
      <c r="I50" s="35">
        <v>34.8</v>
      </c>
      <c r="J50" s="39"/>
      <c r="K50" s="39"/>
      <c r="L50" s="22" t="s">
        <v>214</v>
      </c>
    </row>
    <row r="51" ht="15.0" customHeight="1">
      <c r="A51" s="1"/>
      <c r="B51" s="17" t="s">
        <v>215</v>
      </c>
      <c r="C51" s="33"/>
      <c r="D51" s="33"/>
      <c r="E51" s="37">
        <v>192.7</v>
      </c>
      <c r="F51" s="39"/>
      <c r="G51" s="35">
        <v>170.8</v>
      </c>
      <c r="H51" s="39"/>
      <c r="I51" s="35">
        <v>235.7</v>
      </c>
      <c r="J51" s="39"/>
      <c r="K51" s="39"/>
      <c r="L51" s="22" t="s">
        <v>216</v>
      </c>
    </row>
    <row r="52" ht="15.0" customHeight="1">
      <c r="A52" s="1"/>
      <c r="B52" s="17" t="s">
        <v>217</v>
      </c>
      <c r="C52" s="33"/>
      <c r="D52" s="33"/>
      <c r="E52" s="37">
        <v>131.1</v>
      </c>
      <c r="F52" s="39"/>
      <c r="G52" s="35">
        <v>112.8</v>
      </c>
      <c r="H52" s="39"/>
      <c r="I52" s="35">
        <v>85.0</v>
      </c>
      <c r="J52" s="39"/>
      <c r="K52" s="39"/>
      <c r="L52" s="22" t="s">
        <v>218</v>
      </c>
    </row>
    <row r="53" ht="15.0" customHeight="1">
      <c r="A53" s="1"/>
      <c r="B53" s="17" t="s">
        <v>219</v>
      </c>
      <c r="C53" s="33"/>
      <c r="D53" s="33"/>
      <c r="E53" s="37">
        <v>38.9</v>
      </c>
      <c r="F53" s="39"/>
      <c r="G53" s="35">
        <v>2.5</v>
      </c>
      <c r="H53" s="39"/>
      <c r="I53" s="35">
        <v>0.0</v>
      </c>
      <c r="J53" s="39"/>
      <c r="K53" s="39"/>
      <c r="L53" s="22" t="s">
        <v>220</v>
      </c>
    </row>
    <row r="54" ht="15.0" customHeight="1">
      <c r="A54" s="1"/>
      <c r="B54" s="17" t="s">
        <v>127</v>
      </c>
      <c r="C54" s="33"/>
      <c r="D54" s="33"/>
      <c r="E54" s="37">
        <v>422.8</v>
      </c>
      <c r="F54" s="39"/>
      <c r="G54" s="35">
        <v>401.3</v>
      </c>
      <c r="H54" s="39"/>
      <c r="I54" s="35">
        <v>429.5</v>
      </c>
      <c r="J54" s="39"/>
      <c r="K54" s="39"/>
      <c r="L54" s="22" t="s">
        <v>221</v>
      </c>
    </row>
    <row r="55" ht="15.0" customHeight="1">
      <c r="A55" s="1"/>
      <c r="B55" s="17" t="s">
        <v>132</v>
      </c>
      <c r="C55" s="33"/>
      <c r="D55" s="33"/>
      <c r="E55" s="37">
        <v>1174.8</v>
      </c>
      <c r="F55" s="39"/>
      <c r="G55" s="35">
        <v>1176.1</v>
      </c>
      <c r="H55" s="39"/>
      <c r="I55" s="35">
        <v>1177.5</v>
      </c>
      <c r="J55" s="39"/>
      <c r="K55" s="39"/>
      <c r="L55" s="22" t="s">
        <v>222</v>
      </c>
    </row>
    <row r="56" ht="15.0" customHeight="1">
      <c r="A56" s="1"/>
      <c r="B56" s="17" t="s">
        <v>223</v>
      </c>
      <c r="C56" s="33"/>
      <c r="D56" s="33"/>
      <c r="E56" s="37">
        <v>72.2</v>
      </c>
      <c r="F56" s="39"/>
      <c r="G56" s="35">
        <v>70.4</v>
      </c>
      <c r="H56" s="39"/>
      <c r="I56" s="35">
        <v>68.8</v>
      </c>
      <c r="J56" s="39"/>
      <c r="K56" s="39"/>
      <c r="L56" s="22" t="s">
        <v>224</v>
      </c>
    </row>
    <row r="57" ht="15.0" customHeight="1">
      <c r="A57" s="1"/>
      <c r="B57" s="17" t="s">
        <v>225</v>
      </c>
      <c r="C57" s="33"/>
      <c r="D57" s="33"/>
      <c r="E57" s="37">
        <v>3.0</v>
      </c>
      <c r="F57" s="39"/>
      <c r="G57" s="35">
        <v>2.9</v>
      </c>
      <c r="H57" s="39"/>
      <c r="I57" s="35">
        <v>2.9</v>
      </c>
      <c r="J57" s="39"/>
      <c r="K57" s="39"/>
      <c r="L57" s="22" t="s">
        <v>226</v>
      </c>
    </row>
    <row r="58" ht="15.0" customHeight="1">
      <c r="A58" s="1"/>
      <c r="B58" s="17" t="s">
        <v>227</v>
      </c>
      <c r="C58" s="33"/>
      <c r="D58" s="33"/>
      <c r="E58" s="37">
        <v>8.0</v>
      </c>
      <c r="F58" s="39"/>
      <c r="G58" s="35">
        <v>7.3</v>
      </c>
      <c r="H58" s="39"/>
      <c r="I58" s="35">
        <v>6.9</v>
      </c>
      <c r="J58" s="39"/>
      <c r="K58" s="39"/>
      <c r="L58" s="22" t="s">
        <v>228</v>
      </c>
    </row>
    <row r="59" ht="15.0" customHeight="1">
      <c r="A59" s="1"/>
      <c r="B59" s="16" t="s">
        <v>138</v>
      </c>
      <c r="C59" s="33"/>
      <c r="D59" s="33"/>
      <c r="E59" s="37">
        <v>1680.8</v>
      </c>
      <c r="F59" s="39"/>
      <c r="G59" s="35">
        <v>1658.0</v>
      </c>
      <c r="H59" s="39"/>
      <c r="I59" s="35">
        <v>1685.6</v>
      </c>
      <c r="J59" s="39"/>
      <c r="K59" s="39"/>
      <c r="L59" s="22" t="s">
        <v>229</v>
      </c>
    </row>
    <row r="60" ht="15.0" customHeight="1">
      <c r="A60" s="1"/>
      <c r="B60" s="16" t="s">
        <v>145</v>
      </c>
      <c r="C60" s="33"/>
      <c r="D60" s="37">
        <v>161.4</v>
      </c>
      <c r="E60" s="37">
        <v>765.1</v>
      </c>
      <c r="F60" s="35">
        <v>213.9</v>
      </c>
      <c r="G60" s="35">
        <v>775.2</v>
      </c>
      <c r="H60" s="39"/>
      <c r="I60" s="35">
        <v>845.4</v>
      </c>
      <c r="J60" s="39"/>
      <c r="K60" s="39"/>
      <c r="L60" s="22" t="s">
        <v>230</v>
      </c>
    </row>
    <row r="61" ht="15.0" customHeight="1">
      <c r="A61" s="1"/>
      <c r="B61" s="17" t="s">
        <v>231</v>
      </c>
      <c r="C61" s="33"/>
      <c r="D61" s="33"/>
      <c r="E61" s="37">
        <v>1207.5</v>
      </c>
      <c r="F61" s="39"/>
      <c r="G61" s="35">
        <v>1207.5</v>
      </c>
      <c r="H61" s="39"/>
      <c r="I61" s="35">
        <v>1207.5</v>
      </c>
      <c r="J61" s="39"/>
      <c r="K61" s="39"/>
      <c r="L61" s="22" t="s">
        <v>232</v>
      </c>
    </row>
    <row r="62" ht="15.0" customHeight="1">
      <c r="A62" s="1"/>
      <c r="B62" s="30" t="s">
        <v>233</v>
      </c>
      <c r="C62" s="31"/>
      <c r="D62" s="31"/>
      <c r="E62" s="31"/>
      <c r="F62" s="31"/>
      <c r="G62" s="31"/>
      <c r="H62" s="31"/>
      <c r="I62" s="31"/>
      <c r="J62" s="31"/>
      <c r="K62" s="31"/>
      <c r="L62" s="31"/>
    </row>
    <row r="63" ht="15.0" customHeight="1">
      <c r="A63" s="1"/>
      <c r="B63" s="17" t="s">
        <v>234</v>
      </c>
      <c r="C63" s="33"/>
      <c r="D63" s="33"/>
      <c r="E63" s="37">
        <v>51.0</v>
      </c>
      <c r="F63" s="35">
        <v>36.5</v>
      </c>
      <c r="G63" s="35">
        <v>-35.1</v>
      </c>
      <c r="H63" s="39"/>
      <c r="I63" s="39"/>
      <c r="J63" s="35">
        <v>89.3</v>
      </c>
      <c r="K63" s="35">
        <v>-16.7</v>
      </c>
      <c r="L63" s="22" t="s">
        <v>235</v>
      </c>
    </row>
    <row r="64" ht="15.0" customHeight="1">
      <c r="A64" s="1"/>
      <c r="B64" s="17" t="s">
        <v>236</v>
      </c>
      <c r="C64" s="33"/>
      <c r="D64" s="33"/>
      <c r="E64" s="33"/>
      <c r="F64" s="35">
        <v>2.1</v>
      </c>
      <c r="G64" s="35">
        <v>23.2</v>
      </c>
      <c r="H64" s="39"/>
      <c r="I64" s="39"/>
      <c r="J64" s="35">
        <v>5.7</v>
      </c>
      <c r="K64" s="35">
        <v>94.8</v>
      </c>
      <c r="L64" s="22" t="s">
        <v>237</v>
      </c>
    </row>
    <row r="65" ht="15.0" customHeight="1">
      <c r="A65" s="1"/>
      <c r="B65" s="30" t="s">
        <v>238</v>
      </c>
      <c r="C65" s="31"/>
      <c r="D65" s="31"/>
      <c r="E65" s="31"/>
      <c r="F65" s="31"/>
      <c r="G65" s="31"/>
      <c r="H65" s="31"/>
      <c r="I65" s="31"/>
      <c r="J65" s="31"/>
      <c r="K65" s="31"/>
      <c r="L65" s="31"/>
    </row>
    <row r="66" ht="15.0" customHeight="1">
      <c r="A66" s="1"/>
      <c r="B66" s="17" t="s">
        <v>239</v>
      </c>
      <c r="C66" s="33"/>
      <c r="D66" s="33"/>
      <c r="E66" s="33"/>
      <c r="F66" s="39"/>
      <c r="G66" s="39"/>
      <c r="H66" s="39"/>
      <c r="I66" s="39"/>
      <c r="J66" s="39"/>
      <c r="K66" s="42">
        <v>166.34</v>
      </c>
      <c r="L66" s="22" t="s">
        <v>240</v>
      </c>
    </row>
    <row r="67" ht="15.0" customHeight="1">
      <c r="A67" s="1"/>
      <c r="B67" s="17" t="s">
        <v>241</v>
      </c>
      <c r="C67" s="33"/>
      <c r="D67" s="33"/>
      <c r="E67" s="33"/>
      <c r="F67" s="39"/>
      <c r="G67" s="39"/>
      <c r="H67" s="39"/>
      <c r="I67" s="39"/>
      <c r="J67" s="39"/>
      <c r="K67" s="46">
        <v>19.95</v>
      </c>
      <c r="L67" s="22" t="s">
        <v>242</v>
      </c>
    </row>
    <row r="68" ht="15.0" customHeight="1">
      <c r="A68" s="1"/>
      <c r="B68" s="17" t="s">
        <v>243</v>
      </c>
      <c r="C68" s="37">
        <v>1000.0</v>
      </c>
      <c r="D68" s="37">
        <v>2800.0</v>
      </c>
      <c r="E68" s="37">
        <v>3900.0</v>
      </c>
      <c r="F68" s="39"/>
      <c r="G68" s="39"/>
      <c r="H68" s="39"/>
      <c r="I68" s="35">
        <v>4500.0</v>
      </c>
      <c r="J68" s="39"/>
      <c r="K68" s="35">
        <v>4500.0</v>
      </c>
      <c r="L68" s="22" t="s">
        <v>244</v>
      </c>
    </row>
    <row r="69" ht="34.5" customHeight="1">
      <c r="A69" s="1"/>
      <c r="B69" s="30" t="s">
        <v>245</v>
      </c>
      <c r="C69" s="31"/>
      <c r="D69" s="31"/>
      <c r="E69" s="31"/>
      <c r="F69" s="31"/>
      <c r="G69" s="31"/>
      <c r="H69" s="31"/>
      <c r="I69" s="31"/>
      <c r="J69" s="31"/>
      <c r="K69" s="31"/>
      <c r="L69" s="31"/>
    </row>
    <row r="70" ht="15.0" customHeight="1">
      <c r="A70" s="1"/>
      <c r="B70" s="17" t="s">
        <v>246</v>
      </c>
      <c r="C70" s="33"/>
      <c r="D70" s="33"/>
      <c r="E70" s="33"/>
      <c r="F70" s="39"/>
      <c r="G70" s="39"/>
      <c r="H70" s="39"/>
      <c r="I70" s="39"/>
      <c r="J70" s="39"/>
      <c r="K70" s="47">
        <v>0.043</v>
      </c>
      <c r="L70" s="22" t="s">
        <v>247</v>
      </c>
    </row>
    <row r="71" ht="15.0" customHeight="1">
      <c r="A71" s="1"/>
      <c r="B71" s="17" t="s">
        <v>248</v>
      </c>
      <c r="C71" s="33"/>
      <c r="D71" s="33"/>
      <c r="E71" s="33"/>
      <c r="F71" s="39"/>
      <c r="G71" s="39"/>
      <c r="H71" s="39"/>
      <c r="I71" s="39"/>
      <c r="J71" s="39"/>
      <c r="K71" s="47">
        <v>0.055</v>
      </c>
      <c r="L71" s="22" t="s">
        <v>249</v>
      </c>
    </row>
    <row r="72" ht="15.0" customHeight="1">
      <c r="A72" s="1"/>
      <c r="B72" s="17" t="s">
        <v>250</v>
      </c>
      <c r="C72" s="33"/>
      <c r="D72" s="33"/>
      <c r="E72" s="33"/>
      <c r="F72" s="39"/>
      <c r="G72" s="39"/>
      <c r="H72" s="39"/>
      <c r="I72" s="39"/>
      <c r="J72" s="39"/>
      <c r="K72" s="48">
        <v>0.85</v>
      </c>
      <c r="L72" s="22" t="s">
        <v>251</v>
      </c>
    </row>
    <row r="73" ht="15.0" customHeight="1">
      <c r="A73" s="1"/>
      <c r="B73" s="17" t="s">
        <v>252</v>
      </c>
      <c r="C73" s="33"/>
      <c r="D73" s="33"/>
      <c r="E73" s="33"/>
      <c r="F73" s="39"/>
      <c r="G73" s="39"/>
      <c r="H73" s="39"/>
      <c r="I73" s="39"/>
      <c r="J73" s="39"/>
      <c r="K73" s="47">
        <v>0.21</v>
      </c>
      <c r="L73" s="22" t="s">
        <v>253</v>
      </c>
    </row>
    <row r="74" ht="15.0" customHeight="1">
      <c r="A74" s="1"/>
      <c r="B74" s="17" t="s">
        <v>254</v>
      </c>
      <c r="C74" s="33"/>
      <c r="D74" s="33"/>
      <c r="E74" s="33"/>
      <c r="F74" s="39"/>
      <c r="G74" s="39"/>
      <c r="H74" s="39"/>
      <c r="I74" s="39"/>
      <c r="J74" s="39"/>
      <c r="K74" s="47">
        <v>0.045</v>
      </c>
      <c r="L74" s="22" t="s">
        <v>255</v>
      </c>
    </row>
    <row r="75" ht="15.0" customHeight="1">
      <c r="A75" s="1"/>
      <c r="B75" s="17" t="s">
        <v>256</v>
      </c>
      <c r="C75" s="33"/>
      <c r="D75" s="33"/>
      <c r="E75" s="33"/>
      <c r="F75" s="39"/>
      <c r="G75" s="39"/>
      <c r="H75" s="39"/>
      <c r="I75" s="39"/>
      <c r="J75" s="39"/>
      <c r="K75" s="47">
        <v>0.03</v>
      </c>
      <c r="L75" s="22" t="s">
        <v>257</v>
      </c>
    </row>
    <row r="76" ht="15.75" customHeight="1">
      <c r="A76" s="1"/>
      <c r="B76" s="1"/>
      <c r="C76" s="1"/>
      <c r="D76" s="1"/>
      <c r="E76" s="1"/>
      <c r="F76" s="1"/>
      <c r="G76" s="1"/>
      <c r="H76" s="1"/>
      <c r="I76" s="1"/>
      <c r="J76" s="1"/>
      <c r="K76" s="1"/>
      <c r="L76" s="1"/>
    </row>
    <row r="77" ht="15.0" customHeight="1">
      <c r="A77" s="1"/>
      <c r="B77" s="49" t="s">
        <v>258</v>
      </c>
    </row>
    <row r="78" ht="15.0" customHeight="1">
      <c r="A78" s="1"/>
      <c r="B78" s="49" t="s">
        <v>259</v>
      </c>
    </row>
    <row r="79" ht="15.0" customHeight="1">
      <c r="A79" s="1"/>
      <c r="B79" s="49" t="s">
        <v>260</v>
      </c>
    </row>
    <row r="80" ht="15.0" customHeight="1">
      <c r="A80" s="1"/>
      <c r="B80" s="49" t="s">
        <v>262</v>
      </c>
    </row>
    <row r="81" ht="15.75" customHeight="1">
      <c r="A81" s="1"/>
      <c r="B81" s="1"/>
      <c r="C81" s="1"/>
      <c r="D81" s="1"/>
      <c r="E81" s="1"/>
      <c r="F81" s="1"/>
      <c r="G81" s="1"/>
      <c r="H81" s="1"/>
      <c r="I81" s="1"/>
      <c r="J81" s="1"/>
      <c r="K81" s="1"/>
      <c r="L81" s="1"/>
    </row>
    <row r="82" ht="23.25" customHeight="1">
      <c r="A82" s="1"/>
      <c r="B82" s="30" t="s">
        <v>263</v>
      </c>
      <c r="C82" s="31"/>
      <c r="D82" s="31"/>
      <c r="E82" s="31"/>
      <c r="F82" s="31"/>
      <c r="G82" s="31"/>
      <c r="H82" s="31"/>
      <c r="I82" s="31"/>
      <c r="J82" s="31"/>
      <c r="K82" s="31"/>
      <c r="L82" s="31"/>
    </row>
    <row r="83" ht="15.0" customHeight="1">
      <c r="A83" s="1"/>
      <c r="B83" s="17" t="s">
        <v>264</v>
      </c>
      <c r="C83" s="1"/>
      <c r="D83" s="1"/>
      <c r="E83" s="1"/>
      <c r="F83" s="1"/>
      <c r="G83" s="1"/>
      <c r="H83" s="1"/>
      <c r="I83" s="1"/>
      <c r="J83" s="1"/>
      <c r="K83" s="50">
        <v>448.7</v>
      </c>
      <c r="L83" s="22" t="s">
        <v>265</v>
      </c>
    </row>
    <row r="84" ht="15.0" customHeight="1">
      <c r="A84" s="1"/>
      <c r="B84" s="17" t="s">
        <v>266</v>
      </c>
      <c r="C84" s="1"/>
      <c r="D84" s="1"/>
      <c r="E84" s="1"/>
      <c r="F84" s="1"/>
      <c r="G84" s="1"/>
      <c r="H84" s="1"/>
      <c r="I84" s="1"/>
      <c r="J84" s="1"/>
      <c r="K84" s="51">
        <v>0.12</v>
      </c>
      <c r="L84" s="22" t="s">
        <v>267</v>
      </c>
    </row>
    <row r="85" ht="15.0" customHeight="1">
      <c r="A85" s="1"/>
      <c r="B85" s="17" t="s">
        <v>268</v>
      </c>
      <c r="C85" s="1"/>
      <c r="D85" s="1"/>
      <c r="E85" s="1"/>
      <c r="F85" s="1"/>
      <c r="G85" s="1"/>
      <c r="H85" s="1"/>
      <c r="I85" s="1"/>
      <c r="J85" s="1"/>
      <c r="K85" s="51">
        <v>0.18</v>
      </c>
      <c r="L85" s="22" t="s">
        <v>269</v>
      </c>
    </row>
    <row r="86" ht="15.0" customHeight="1">
      <c r="A86" s="1"/>
      <c r="B86" s="17" t="s">
        <v>270</v>
      </c>
      <c r="C86" s="1"/>
      <c r="D86" s="1"/>
      <c r="E86" s="1"/>
      <c r="F86" s="1"/>
      <c r="G86" s="1"/>
      <c r="H86" s="1"/>
      <c r="I86" s="1"/>
      <c r="J86" s="1"/>
      <c r="K86" s="51">
        <v>0.2</v>
      </c>
      <c r="L86" s="22" t="s">
        <v>271</v>
      </c>
    </row>
    <row r="87" ht="15.0" customHeight="1">
      <c r="A87" s="1"/>
      <c r="B87" s="17" t="s">
        <v>272</v>
      </c>
      <c r="C87" s="1"/>
      <c r="D87" s="1"/>
      <c r="E87" s="1"/>
      <c r="F87" s="1"/>
      <c r="G87" s="1"/>
      <c r="H87" s="1"/>
      <c r="I87" s="1"/>
      <c r="J87" s="1"/>
      <c r="K87" s="51">
        <v>0.15</v>
      </c>
      <c r="L87" s="22"/>
    </row>
    <row r="88" ht="15.0" customHeight="1">
      <c r="A88" s="1"/>
      <c r="B88" s="17" t="s">
        <v>273</v>
      </c>
      <c r="C88" s="1"/>
      <c r="D88" s="1"/>
      <c r="E88" s="1"/>
      <c r="F88" s="1"/>
      <c r="G88" s="1"/>
      <c r="H88" s="1"/>
      <c r="I88" s="1"/>
      <c r="J88" s="1"/>
      <c r="K88" s="51">
        <v>0.12</v>
      </c>
      <c r="L88" s="22" t="s">
        <v>274</v>
      </c>
    </row>
    <row r="89" ht="15.0" customHeight="1">
      <c r="A89" s="1"/>
      <c r="B89" s="17" t="s">
        <v>275</v>
      </c>
      <c r="C89" s="1"/>
      <c r="D89" s="1"/>
      <c r="E89" s="1"/>
      <c r="F89" s="1"/>
      <c r="G89" s="1"/>
      <c r="H89" s="1"/>
      <c r="I89" s="1"/>
      <c r="J89" s="1"/>
      <c r="K89" s="51">
        <v>0.11</v>
      </c>
      <c r="L89" s="22" t="s">
        <v>276</v>
      </c>
    </row>
    <row r="90" ht="15.0" customHeight="1">
      <c r="A90" s="1"/>
      <c r="B90" s="17" t="s">
        <v>277</v>
      </c>
      <c r="C90" s="1"/>
      <c r="D90" s="1"/>
      <c r="E90" s="1"/>
      <c r="F90" s="1"/>
      <c r="G90" s="1"/>
      <c r="H90" s="1"/>
      <c r="I90" s="1"/>
      <c r="J90" s="1"/>
      <c r="K90" s="51">
        <v>0.12</v>
      </c>
      <c r="L90" s="22"/>
    </row>
    <row r="91" ht="15.0" customHeight="1">
      <c r="A91" s="1"/>
      <c r="B91" s="17" t="s">
        <v>278</v>
      </c>
      <c r="C91" s="1"/>
      <c r="D91" s="1"/>
      <c r="E91" s="1"/>
      <c r="F91" s="1"/>
      <c r="G91" s="1"/>
      <c r="H91" s="1"/>
      <c r="I91" s="1"/>
      <c r="J91" s="1"/>
      <c r="K91" s="51">
        <v>0.14</v>
      </c>
      <c r="L91" s="22" t="s">
        <v>279</v>
      </c>
    </row>
    <row r="92" ht="15.0" customHeight="1">
      <c r="A92" s="1"/>
      <c r="B92" s="17" t="s">
        <v>280</v>
      </c>
      <c r="C92" s="1"/>
      <c r="D92" s="1"/>
      <c r="E92" s="1"/>
      <c r="F92" s="1"/>
      <c r="G92" s="1"/>
      <c r="H92" s="1"/>
      <c r="I92" s="1"/>
      <c r="J92" s="1"/>
      <c r="K92" s="51">
        <v>0.15</v>
      </c>
      <c r="L92" s="22"/>
    </row>
    <row r="93" ht="15.0" customHeight="1">
      <c r="A93" s="1"/>
      <c r="B93" s="17" t="s">
        <v>282</v>
      </c>
      <c r="C93" s="1"/>
      <c r="D93" s="1"/>
      <c r="E93" s="1"/>
      <c r="F93" s="1"/>
      <c r="G93" s="1"/>
      <c r="H93" s="1"/>
      <c r="I93" s="1"/>
      <c r="J93" s="1"/>
      <c r="K93" s="51">
        <v>0.16</v>
      </c>
      <c r="L93" s="22" t="s">
        <v>283</v>
      </c>
    </row>
    <row r="94" ht="15.0" customHeight="1">
      <c r="A94" s="1"/>
      <c r="B94" s="17" t="s">
        <v>284</v>
      </c>
      <c r="C94" s="1"/>
      <c r="D94" s="1"/>
      <c r="E94" s="1"/>
      <c r="F94" s="1"/>
      <c r="G94" s="1"/>
      <c r="H94" s="1"/>
      <c r="I94" s="1"/>
      <c r="J94" s="1"/>
      <c r="K94" s="51">
        <v>0.16</v>
      </c>
      <c r="L94" s="22" t="s">
        <v>285</v>
      </c>
    </row>
    <row r="95" ht="15.0" customHeight="1">
      <c r="A95" s="1"/>
      <c r="B95" s="17" t="s">
        <v>286</v>
      </c>
      <c r="C95" s="1"/>
      <c r="D95" s="1"/>
      <c r="E95" s="1"/>
      <c r="F95" s="1"/>
      <c r="G95" s="1"/>
      <c r="H95" s="1"/>
      <c r="I95" s="1"/>
      <c r="J95" s="1"/>
      <c r="K95" s="51">
        <v>0.04</v>
      </c>
      <c r="L95" s="22" t="s">
        <v>289</v>
      </c>
    </row>
    <row r="96" ht="15.0" customHeight="1">
      <c r="A96" s="1"/>
      <c r="B96" s="17" t="s">
        <v>291</v>
      </c>
      <c r="C96" s="1"/>
      <c r="D96" s="1"/>
      <c r="E96" s="1"/>
      <c r="F96" s="1"/>
      <c r="G96" s="1"/>
      <c r="H96" s="1"/>
      <c r="I96" s="1"/>
      <c r="J96" s="1"/>
      <c r="K96" s="51">
        <v>0.14</v>
      </c>
      <c r="L96" s="22" t="s">
        <v>292</v>
      </c>
    </row>
    <row r="97" ht="15.0" customHeight="1">
      <c r="A97" s="1"/>
      <c r="B97" s="17" t="s">
        <v>293</v>
      </c>
      <c r="C97" s="1"/>
      <c r="D97" s="1"/>
      <c r="E97" s="1"/>
      <c r="F97" s="1"/>
      <c r="G97" s="1"/>
      <c r="H97" s="1"/>
      <c r="I97" s="1"/>
      <c r="J97" s="1"/>
      <c r="K97" s="51">
        <v>0.15</v>
      </c>
      <c r="L97" s="22" t="s">
        <v>295</v>
      </c>
    </row>
    <row r="98" ht="15.0" customHeight="1">
      <c r="A98" s="1"/>
      <c r="B98" s="17" t="s">
        <v>296</v>
      </c>
      <c r="C98" s="1"/>
      <c r="D98" s="1"/>
      <c r="E98" s="1"/>
      <c r="F98" s="1"/>
      <c r="G98" s="1"/>
      <c r="H98" s="1"/>
      <c r="I98" s="1"/>
      <c r="J98" s="1"/>
      <c r="K98" s="51">
        <v>0.04</v>
      </c>
      <c r="L98" s="22" t="s">
        <v>297</v>
      </c>
    </row>
    <row r="99" ht="15.0" customHeight="1">
      <c r="A99" s="1"/>
      <c r="B99" s="17" t="s">
        <v>298</v>
      </c>
      <c r="C99" s="1"/>
      <c r="D99" s="1"/>
      <c r="E99" s="1"/>
      <c r="F99" s="1"/>
      <c r="G99" s="1"/>
      <c r="H99" s="1"/>
      <c r="I99" s="1"/>
      <c r="J99" s="1"/>
      <c r="K99" s="51">
        <v>0.0</v>
      </c>
      <c r="L99" s="22" t="s">
        <v>299</v>
      </c>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0">
    <mergeCell ref="B78:L78"/>
    <mergeCell ref="B79:L79"/>
    <mergeCell ref="B80:L80"/>
    <mergeCell ref="B2:L2"/>
    <mergeCell ref="B3:L3"/>
    <mergeCell ref="C5:E5"/>
    <mergeCell ref="F5:G5"/>
    <mergeCell ref="H5:I5"/>
    <mergeCell ref="J5:K5"/>
    <mergeCell ref="B77:L7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36.0"/>
    <col customWidth="1" min="3" max="12" width="11.0"/>
    <col customWidth="1" min="13" max="26" width="8.71"/>
  </cols>
  <sheetData>
    <row r="1">
      <c r="A1" s="1"/>
      <c r="B1" s="1"/>
      <c r="C1" s="1"/>
      <c r="D1" s="1"/>
      <c r="E1" s="1"/>
      <c r="F1" s="1"/>
      <c r="G1" s="1"/>
      <c r="H1" s="1"/>
      <c r="I1" s="1"/>
      <c r="J1" s="1"/>
      <c r="K1" s="1"/>
      <c r="L1" s="1"/>
    </row>
    <row r="2" ht="21.75" customHeight="1">
      <c r="A2" s="1"/>
      <c r="B2" s="3" t="s">
        <v>1</v>
      </c>
      <c r="C2" s="4"/>
      <c r="D2" s="4"/>
      <c r="E2" s="4"/>
      <c r="F2" s="4"/>
      <c r="G2" s="4"/>
      <c r="H2" s="4"/>
      <c r="I2" s="4"/>
      <c r="J2" s="4"/>
      <c r="K2" s="4"/>
      <c r="L2" s="5"/>
    </row>
    <row r="3" ht="25.5" customHeight="1">
      <c r="A3" s="1"/>
      <c r="B3" s="6" t="s">
        <v>8</v>
      </c>
    </row>
    <row r="4">
      <c r="A4" s="1"/>
      <c r="B4" s="1"/>
      <c r="C4" s="1"/>
      <c r="D4" s="1"/>
      <c r="E4" s="1"/>
      <c r="F4" s="1"/>
      <c r="G4" s="1"/>
      <c r="H4" s="1"/>
      <c r="I4" s="1"/>
      <c r="J4" s="1"/>
      <c r="K4" s="1"/>
      <c r="L4" s="1"/>
    </row>
    <row r="5" ht="15.0" customHeight="1">
      <c r="A5" s="1"/>
      <c r="B5" s="1"/>
      <c r="C5" s="9" t="s">
        <v>12</v>
      </c>
      <c r="D5" s="10"/>
      <c r="E5" s="13"/>
      <c r="F5" s="15" t="s">
        <v>18</v>
      </c>
      <c r="G5" s="10"/>
      <c r="H5" s="13"/>
      <c r="I5" s="15" t="s">
        <v>20</v>
      </c>
      <c r="J5" s="10"/>
      <c r="K5" s="13"/>
      <c r="L5" s="18"/>
    </row>
    <row r="6" ht="15.0" customHeight="1">
      <c r="A6" s="1"/>
      <c r="B6" s="11" t="s">
        <v>22</v>
      </c>
      <c r="C6" s="11" t="s">
        <v>23</v>
      </c>
      <c r="D6" s="11" t="s">
        <v>24</v>
      </c>
      <c r="E6" s="11" t="s">
        <v>25</v>
      </c>
      <c r="F6" s="11" t="s">
        <v>26</v>
      </c>
      <c r="G6" s="11" t="s">
        <v>27</v>
      </c>
      <c r="H6" s="11" t="s">
        <v>28</v>
      </c>
      <c r="I6" s="11" t="s">
        <v>29</v>
      </c>
      <c r="J6" s="11" t="s">
        <v>30</v>
      </c>
      <c r="K6" s="11" t="s">
        <v>28</v>
      </c>
      <c r="L6" s="1"/>
    </row>
    <row r="7" ht="15.0" customHeight="1">
      <c r="A7" s="1"/>
      <c r="B7" s="17" t="s">
        <v>31</v>
      </c>
      <c r="C7" s="19" t="str">
        <f>DATOS!C8</f>
        <v/>
      </c>
      <c r="D7" s="19" t="str">
        <f>DATOS!D8</f>
        <v/>
      </c>
      <c r="E7" s="19" t="str">
        <f>DATOS!E8</f>
        <v/>
      </c>
      <c r="F7" s="19">
        <f>DATOS!F8</f>
        <v>51.3</v>
      </c>
      <c r="G7" s="19">
        <f>DATOS!G8</f>
        <v>41.6</v>
      </c>
      <c r="H7" s="23">
        <f>IFERROR((DATOS!G8-DATOS!F8)/ABS(DATOS!F8),"—")</f>
        <v>-0.1890838207</v>
      </c>
      <c r="I7" s="19">
        <f>DATOS!H8</f>
        <v>125.7</v>
      </c>
      <c r="J7" s="19">
        <f>DATOS!I8</f>
        <v>100</v>
      </c>
      <c r="K7" s="23">
        <f>IFERROR((DATOS!I8-DATOS!H8)/ABS(DATOS!H8),"—")</f>
        <v>-0.2044550517</v>
      </c>
      <c r="L7" s="1"/>
    </row>
    <row r="8" ht="15.0" customHeight="1">
      <c r="A8" s="1"/>
      <c r="B8" s="17" t="s">
        <v>50</v>
      </c>
      <c r="C8" s="19" t="str">
        <f>DATOS!C9</f>
        <v/>
      </c>
      <c r="D8" s="19" t="str">
        <f>DATOS!D9</f>
        <v/>
      </c>
      <c r="E8" s="19" t="str">
        <f>DATOS!E9</f>
        <v/>
      </c>
      <c r="F8" s="19">
        <f>DATOS!F9</f>
        <v>0</v>
      </c>
      <c r="G8" s="19">
        <f>DATOS!G9</f>
        <v>3</v>
      </c>
      <c r="H8" s="23" t="str">
        <f>IFERROR((DATOS!G9-DATOS!F9)/ABS(DATOS!F9),"—")</f>
        <v>—</v>
      </c>
      <c r="I8" s="19">
        <f>DATOS!H9</f>
        <v>0</v>
      </c>
      <c r="J8" s="19">
        <f>DATOS!I9</f>
        <v>53.4</v>
      </c>
      <c r="K8" s="23" t="str">
        <f>IFERROR((DATOS!I9-DATOS!H9)/ABS(DATOS!H9),"—")</f>
        <v>—</v>
      </c>
      <c r="L8" s="1"/>
    </row>
    <row r="9" ht="15.0" customHeight="1">
      <c r="A9" s="1"/>
      <c r="B9" s="17" t="s">
        <v>76</v>
      </c>
      <c r="C9" s="19">
        <f>DATOS!C10</f>
        <v>51.2</v>
      </c>
      <c r="D9" s="19">
        <f>DATOS!D10</f>
        <v>92.1</v>
      </c>
      <c r="E9" s="19">
        <f>DATOS!E10</f>
        <v>102.5</v>
      </c>
      <c r="F9" s="19">
        <f>DATOS!F10</f>
        <v>21.8</v>
      </c>
      <c r="G9" s="19">
        <f>DATOS!G10</f>
        <v>32.1</v>
      </c>
      <c r="H9" s="23">
        <f>IFERROR((DATOS!G10-DATOS!F10)/ABS(DATOS!F10),"—")</f>
        <v>0.4724770642</v>
      </c>
      <c r="I9" s="19">
        <f>DATOS!H10</f>
        <v>28.8</v>
      </c>
      <c r="J9" s="19">
        <f>DATOS!I10</f>
        <v>22.7</v>
      </c>
      <c r="K9" s="23">
        <f>IFERROR((DATOS!I10-DATOS!H10)/ABS(DATOS!H10),"—")</f>
        <v>-0.2118055556</v>
      </c>
      <c r="L9" s="1"/>
    </row>
    <row r="10" ht="15.0" customHeight="1">
      <c r="A10" s="1"/>
      <c r="B10" s="16" t="s">
        <v>100</v>
      </c>
      <c r="C10" s="27">
        <f>DATOS!C11</f>
        <v>320.2</v>
      </c>
      <c r="D10" s="27">
        <f>DATOS!D11</f>
        <v>442</v>
      </c>
      <c r="E10" s="27">
        <f>DATOS!E11</f>
        <v>448.7</v>
      </c>
      <c r="F10" s="27">
        <f>DATOS!F11</f>
        <v>73.1</v>
      </c>
      <c r="G10" s="27">
        <f>DATOS!G11</f>
        <v>76.7</v>
      </c>
      <c r="H10" s="23">
        <f>IFERROR((DATOS!G11-DATOS!F11)/ABS(DATOS!F11),"—")</f>
        <v>0.04924760602</v>
      </c>
      <c r="I10" s="27">
        <f>DATOS!H11</f>
        <v>154.5</v>
      </c>
      <c r="J10" s="27">
        <f>DATOS!I11</f>
        <v>176.1</v>
      </c>
      <c r="K10" s="23">
        <f>IFERROR((DATOS!I11-DATOS!H11)/ABS(DATOS!H11),"—")</f>
        <v>0.1398058252</v>
      </c>
      <c r="L10" s="1"/>
    </row>
    <row r="11" ht="15.0" customHeight="1">
      <c r="A11" s="1"/>
      <c r="B11" s="17" t="s">
        <v>113</v>
      </c>
      <c r="C11" s="19">
        <f>DATOS!C14</f>
        <v>208.1</v>
      </c>
      <c r="D11" s="19">
        <f>DATOS!D14</f>
        <v>330.5</v>
      </c>
      <c r="E11" s="19">
        <f>DATOS!E14</f>
        <v>331.2</v>
      </c>
      <c r="F11" s="19">
        <f>DATOS!F14</f>
        <v>40.2</v>
      </c>
      <c r="G11" s="19">
        <f>DATOS!G14</f>
        <v>45.2</v>
      </c>
      <c r="H11" s="23">
        <f>IFERROR((DATOS!G14-DATOS!F14)/ABS(DATOS!F14),"—")</f>
        <v>0.1243781095</v>
      </c>
      <c r="I11" s="19">
        <f>DATOS!H14</f>
        <v>100.6</v>
      </c>
      <c r="J11" s="19">
        <f>DATOS!I14</f>
        <v>126.2</v>
      </c>
      <c r="K11" s="23">
        <f>IFERROR((DATOS!I14-DATOS!H14)/ABS(DATOS!H14),"—")</f>
        <v>0.254473161</v>
      </c>
      <c r="L11" s="1"/>
    </row>
    <row r="12" ht="15.0" customHeight="1">
      <c r="A12" s="1"/>
      <c r="B12" s="16" t="s">
        <v>129</v>
      </c>
      <c r="C12" s="27">
        <f>DATOS!C15</f>
        <v>112.1</v>
      </c>
      <c r="D12" s="27">
        <f>DATOS!D15</f>
        <v>111.5</v>
      </c>
      <c r="E12" s="27">
        <f>DATOS!E15</f>
        <v>117.5</v>
      </c>
      <c r="F12" s="27">
        <f>DATOS!F15</f>
        <v>32.9</v>
      </c>
      <c r="G12" s="27">
        <f>DATOS!G15</f>
        <v>31.5</v>
      </c>
      <c r="H12" s="23">
        <f>IFERROR((DATOS!G15-DATOS!F15)/ABS(DATOS!F15),"—")</f>
        <v>-0.04255319149</v>
      </c>
      <c r="I12" s="27">
        <f>DATOS!H15</f>
        <v>53.9</v>
      </c>
      <c r="J12" s="27">
        <f>DATOS!I15</f>
        <v>49.9</v>
      </c>
      <c r="K12" s="23">
        <f>IFERROR((DATOS!I15-DATOS!H15)/ABS(DATOS!H15),"—")</f>
        <v>-0.07421150278</v>
      </c>
      <c r="L12" s="1"/>
    </row>
    <row r="13" ht="15.0" customHeight="1">
      <c r="A13" s="1"/>
      <c r="B13" s="16" t="s">
        <v>148</v>
      </c>
      <c r="C13" s="23">
        <f>DATOS!C15/DATOS!C11</f>
        <v>0.3500936914</v>
      </c>
      <c r="D13" s="23">
        <f>DATOS!D15/DATOS!D11</f>
        <v>0.2522624434</v>
      </c>
      <c r="E13" s="23">
        <f>DATOS!E15/DATOS!E11</f>
        <v>0.2618676176</v>
      </c>
      <c r="F13" s="23">
        <f>DATOS!F15/DATOS!F11</f>
        <v>0.4500683995</v>
      </c>
      <c r="G13" s="23">
        <f>DATOS!G15/DATOS!G11</f>
        <v>0.4106910039</v>
      </c>
      <c r="H13" s="18"/>
      <c r="I13" s="23">
        <f>DATOS!H15/DATOS!H11</f>
        <v>0.3488673139</v>
      </c>
      <c r="J13" s="23">
        <f>DATOS!I15/DATOS!I11</f>
        <v>0.2833617263</v>
      </c>
      <c r="K13" s="18"/>
      <c r="L13" s="1"/>
    </row>
    <row r="14" ht="15.0" customHeight="1">
      <c r="A14" s="1"/>
      <c r="B14" s="17" t="s">
        <v>172</v>
      </c>
      <c r="C14" s="19" t="str">
        <f>DATOS!C18</f>
        <v/>
      </c>
      <c r="D14" s="19" t="str">
        <f>DATOS!D18</f>
        <v/>
      </c>
      <c r="E14" s="19" t="str">
        <f>DATOS!E18</f>
        <v/>
      </c>
      <c r="F14" s="19">
        <f>DATOS!F18</f>
        <v>3</v>
      </c>
      <c r="G14" s="19">
        <f>DATOS!G18</f>
        <v>18.9</v>
      </c>
      <c r="H14" s="23">
        <f>IFERROR((DATOS!G18-DATOS!F18)/ABS(DATOS!F18),"—")</f>
        <v>5.3</v>
      </c>
      <c r="I14" s="19">
        <f>DATOS!H18</f>
        <v>3.3</v>
      </c>
      <c r="J14" s="19">
        <f>DATOS!I18</f>
        <v>10.8</v>
      </c>
      <c r="K14" s="23">
        <f>IFERROR((DATOS!I18-DATOS!H18)/ABS(DATOS!H18),"—")</f>
        <v>2.272727273</v>
      </c>
      <c r="L14" s="1"/>
    </row>
    <row r="15" ht="15.0" customHeight="1">
      <c r="A15" s="1"/>
      <c r="B15" s="17" t="s">
        <v>183</v>
      </c>
      <c r="C15" s="19" t="str">
        <f>DATOS!C19</f>
        <v/>
      </c>
      <c r="D15" s="19" t="str">
        <f>DATOS!D19</f>
        <v/>
      </c>
      <c r="E15" s="19" t="str">
        <f>DATOS!E19</f>
        <v/>
      </c>
      <c r="F15" s="19">
        <f>DATOS!F19</f>
        <v>8.3</v>
      </c>
      <c r="G15" s="19">
        <f>DATOS!G19</f>
        <v>10</v>
      </c>
      <c r="H15" s="23">
        <f>IFERROR((DATOS!G19-DATOS!F19)/ABS(DATOS!F19),"—")</f>
        <v>0.2048192771</v>
      </c>
      <c r="I15" s="19">
        <f>DATOS!H19</f>
        <v>13.4</v>
      </c>
      <c r="J15" s="19">
        <f>DATOS!I19</f>
        <v>26.2</v>
      </c>
      <c r="K15" s="23">
        <f>IFERROR((DATOS!I19-DATOS!H19)/ABS(DATOS!H19),"—")</f>
        <v>0.9552238806</v>
      </c>
      <c r="L15" s="1"/>
    </row>
    <row r="16" ht="15.0" customHeight="1">
      <c r="A16" s="1"/>
      <c r="B16" s="17" t="s">
        <v>196</v>
      </c>
      <c r="C16" s="19" t="str">
        <f>DATOS!C20</f>
        <v/>
      </c>
      <c r="D16" s="19" t="str">
        <f>DATOS!D20</f>
        <v/>
      </c>
      <c r="E16" s="19" t="str">
        <f>DATOS!E20</f>
        <v/>
      </c>
      <c r="F16" s="19">
        <f>DATOS!F20</f>
        <v>1.1</v>
      </c>
      <c r="G16" s="19">
        <f>DATOS!G20</f>
        <v>1.8</v>
      </c>
      <c r="H16" s="23">
        <f>IFERROR((DATOS!G20-DATOS!F20)/ABS(DATOS!F20),"—")</f>
        <v>0.6363636364</v>
      </c>
      <c r="I16" s="19">
        <f>DATOS!H20</f>
        <v>3.7</v>
      </c>
      <c r="J16" s="19">
        <f>DATOS!I20</f>
        <v>2.5</v>
      </c>
      <c r="K16" s="23">
        <f>IFERROR((DATOS!I20-DATOS!H20)/ABS(DATOS!H20),"—")</f>
        <v>-0.3243243243</v>
      </c>
      <c r="L16" s="1"/>
    </row>
    <row r="17" ht="15.0" customHeight="1">
      <c r="A17" s="1"/>
      <c r="B17" s="16" t="s">
        <v>144</v>
      </c>
      <c r="C17" s="27" t="str">
        <f>DATOS!C21</f>
        <v/>
      </c>
      <c r="D17" s="27" t="str">
        <f>DATOS!D21</f>
        <v/>
      </c>
      <c r="E17" s="27">
        <f>DATOS!E21</f>
        <v>50.2</v>
      </c>
      <c r="F17" s="27">
        <f>DATOS!F21</f>
        <v>20.5</v>
      </c>
      <c r="G17" s="27">
        <f>DATOS!G21</f>
        <v>0.8</v>
      </c>
      <c r="H17" s="23">
        <f>IFERROR((DATOS!G21-DATOS!F21)/ABS(DATOS!F21),"—")</f>
        <v>-0.9609756098</v>
      </c>
      <c r="I17" s="27">
        <f>DATOS!H21</f>
        <v>33.5</v>
      </c>
      <c r="J17" s="27">
        <f>DATOS!I21</f>
        <v>10.4</v>
      </c>
      <c r="K17" s="23">
        <f>IFERROR((DATOS!I21-DATOS!H21)/ABS(DATOS!H21),"—")</f>
        <v>-0.6895522388</v>
      </c>
      <c r="L17" s="1"/>
    </row>
    <row r="18" ht="15.0" customHeight="1">
      <c r="A18" s="1"/>
      <c r="B18" s="17" t="s">
        <v>155</v>
      </c>
      <c r="C18" s="19" t="str">
        <f>DATOS!C24</f>
        <v/>
      </c>
      <c r="D18" s="19" t="str">
        <f>DATOS!D24</f>
        <v/>
      </c>
      <c r="E18" s="19" t="str">
        <f>DATOS!E24</f>
        <v/>
      </c>
      <c r="F18" s="19">
        <f>DATOS!F24</f>
        <v>7.3</v>
      </c>
      <c r="G18" s="19">
        <f>DATOS!G24</f>
        <v>17</v>
      </c>
      <c r="H18" s="23">
        <f>IFERROR((DATOS!G24-DATOS!F24)/ABS(DATOS!F24),"—")</f>
        <v>1.328767123</v>
      </c>
      <c r="I18" s="19">
        <f>DATOS!H24</f>
        <v>8</v>
      </c>
      <c r="J18" s="19">
        <f>DATOS!I24</f>
        <v>16.3</v>
      </c>
      <c r="K18" s="23">
        <f>IFERROR((DATOS!I24-DATOS!H24)/ABS(DATOS!H24),"—")</f>
        <v>1.0375</v>
      </c>
      <c r="L18" s="1"/>
    </row>
    <row r="19" ht="15.0" customHeight="1">
      <c r="A19" s="1"/>
      <c r="B19" s="17" t="s">
        <v>151</v>
      </c>
      <c r="C19" s="19" t="str">
        <f>DATOS!C23</f>
        <v/>
      </c>
      <c r="D19" s="19" t="str">
        <f>DATOS!D23</f>
        <v/>
      </c>
      <c r="E19" s="19" t="str">
        <f>DATOS!E23</f>
        <v/>
      </c>
      <c r="F19" s="19">
        <f>DATOS!F23</f>
        <v>3.4</v>
      </c>
      <c r="G19" s="19">
        <f>DATOS!G23</f>
        <v>4</v>
      </c>
      <c r="H19" s="23">
        <f>IFERROR((DATOS!G23-DATOS!F23)/ABS(DATOS!F23),"—")</f>
        <v>0.1764705882</v>
      </c>
      <c r="I19" s="19">
        <f>DATOS!H23</f>
        <v>3.1</v>
      </c>
      <c r="J19" s="19">
        <f>DATOS!I23</f>
        <v>4.2</v>
      </c>
      <c r="K19" s="23">
        <f>IFERROR((DATOS!I23-DATOS!H23)/ABS(DATOS!H23),"—")</f>
        <v>0.3548387097</v>
      </c>
      <c r="L19" s="1"/>
    </row>
    <row r="20" ht="15.0" customHeight="1">
      <c r="A20" s="1"/>
      <c r="B20" s="17" t="s">
        <v>161</v>
      </c>
      <c r="C20" s="19" t="str">
        <f>DATOS!C27</f>
        <v/>
      </c>
      <c r="D20" s="19" t="str">
        <f>DATOS!D27</f>
        <v/>
      </c>
      <c r="E20" s="19" t="str">
        <f>DATOS!E27</f>
        <v/>
      </c>
      <c r="F20" s="19">
        <f>DATOS!F27</f>
        <v>35.2</v>
      </c>
      <c r="G20" s="19">
        <f>DATOS!G27</f>
        <v>12.5</v>
      </c>
      <c r="H20" s="23">
        <f>IFERROR((DATOS!G27-DATOS!F27)/ABS(DATOS!F27),"—")</f>
        <v>-0.6448863636</v>
      </c>
      <c r="I20" s="19">
        <f>DATOS!H27</f>
        <v>37.4</v>
      </c>
      <c r="J20" s="19">
        <f>DATOS!I27</f>
        <v>21.6</v>
      </c>
      <c r="K20" s="23">
        <f>IFERROR((DATOS!I27-DATOS!H27)/ABS(DATOS!H27),"—")</f>
        <v>-0.422459893</v>
      </c>
      <c r="L20" s="1"/>
    </row>
    <row r="21" ht="15.0" customHeight="1">
      <c r="A21" s="1"/>
      <c r="B21" s="16" t="s">
        <v>165</v>
      </c>
      <c r="C21" s="27">
        <f>DATOS!C29</f>
        <v>84.4</v>
      </c>
      <c r="D21" s="27">
        <f>DATOS!D29</f>
        <v>73.2</v>
      </c>
      <c r="E21" s="27">
        <f>DATOS!E29</f>
        <v>77.8</v>
      </c>
      <c r="F21" s="27">
        <f>DATOS!F29</f>
        <v>27.2</v>
      </c>
      <c r="G21" s="27">
        <f>DATOS!G29</f>
        <v>10</v>
      </c>
      <c r="H21" s="23">
        <f>IFERROR((DATOS!G29-DATOS!F29)/ABS(DATOS!F29),"—")</f>
        <v>-0.6323529412</v>
      </c>
      <c r="I21" s="27">
        <f>DATOS!H29</f>
        <v>28.9</v>
      </c>
      <c r="J21" s="27">
        <f>DATOS!I29</f>
        <v>16.8</v>
      </c>
      <c r="K21" s="23">
        <f>IFERROR((DATOS!I29-DATOS!H29)/ABS(DATOS!H29),"—")</f>
        <v>-0.4186851211</v>
      </c>
      <c r="L21" s="1"/>
    </row>
    <row r="22" ht="15.0" customHeight="1">
      <c r="A22" s="1"/>
      <c r="B22" s="17" t="s">
        <v>261</v>
      </c>
      <c r="C22" s="19" t="str">
        <f>DATOS!C30</f>
        <v/>
      </c>
      <c r="D22" s="19" t="str">
        <f>DATOS!D30</f>
        <v/>
      </c>
      <c r="E22" s="19" t="str">
        <f>DATOS!E30</f>
        <v/>
      </c>
      <c r="F22" s="19" t="str">
        <f>DATOS!F30</f>
        <v/>
      </c>
      <c r="G22" s="19" t="str">
        <f>DATOS!G30</f>
        <v/>
      </c>
      <c r="H22" s="23" t="str">
        <f>IFERROR((DATOS!G30-DATOS!F30)/ABS(DATOS!F30),"—")</f>
        <v>—</v>
      </c>
      <c r="I22" s="19">
        <f>DATOS!H30</f>
        <v>34.5</v>
      </c>
      <c r="J22" s="19">
        <f>DATOS!I30</f>
        <v>38.7</v>
      </c>
      <c r="K22" s="23">
        <f>IFERROR((DATOS!I30-DATOS!H30)/ABS(DATOS!H30),"—")</f>
        <v>0.1217391304</v>
      </c>
      <c r="L22" s="1"/>
    </row>
    <row r="23" ht="15.0" customHeight="1">
      <c r="A23" s="1"/>
      <c r="B23" s="17" t="s">
        <v>174</v>
      </c>
      <c r="C23" s="19">
        <f>DATOS!C32</f>
        <v>5.44</v>
      </c>
      <c r="D23" s="19" t="str">
        <f>DATOS!D32</f>
        <v/>
      </c>
      <c r="E23" s="19">
        <f>DATOS!E32</f>
        <v>3.9</v>
      </c>
      <c r="F23" s="19">
        <f>DATOS!F32</f>
        <v>1.6</v>
      </c>
      <c r="G23" s="19">
        <f>DATOS!G32</f>
        <v>0.45</v>
      </c>
      <c r="H23" s="23">
        <f>IFERROR((DATOS!G32-DATOS!F32)/ABS(DATOS!F32),"—")</f>
        <v>-0.71875</v>
      </c>
      <c r="I23" s="19">
        <f>DATOS!H32</f>
        <v>1.59</v>
      </c>
      <c r="J23" s="19">
        <f>DATOS!I32</f>
        <v>0.77</v>
      </c>
      <c r="K23" s="23">
        <f>IFERROR((DATOS!I32-DATOS!H32)/ABS(DATOS!H32),"—")</f>
        <v>-0.5157232704</v>
      </c>
      <c r="L23" s="1"/>
    </row>
    <row r="24" ht="15.75" customHeight="1">
      <c r="A24" s="1"/>
      <c r="B24" s="1"/>
      <c r="C24" s="1"/>
      <c r="D24" s="1"/>
      <c r="E24" s="1"/>
      <c r="F24" s="1"/>
      <c r="G24" s="1"/>
      <c r="H24" s="1"/>
      <c r="I24" s="1"/>
      <c r="J24" s="1"/>
      <c r="K24" s="1"/>
      <c r="L24" s="1"/>
    </row>
    <row r="25" ht="15.0" customHeight="1">
      <c r="A25" s="1"/>
      <c r="B25" s="52" t="s">
        <v>281</v>
      </c>
      <c r="C25" s="10"/>
      <c r="D25" s="10"/>
      <c r="E25" s="10"/>
      <c r="F25" s="10"/>
      <c r="G25" s="10"/>
      <c r="H25" s="10"/>
      <c r="I25" s="10"/>
      <c r="J25" s="10"/>
      <c r="K25" s="13"/>
      <c r="L25" s="1"/>
    </row>
    <row r="26" ht="15.0" customHeight="1">
      <c r="A26" s="1"/>
      <c r="B26" s="7" t="s">
        <v>22</v>
      </c>
      <c r="C26" s="11" t="s">
        <v>287</v>
      </c>
      <c r="D26" s="11" t="s">
        <v>288</v>
      </c>
      <c r="E26" s="11" t="s">
        <v>28</v>
      </c>
      <c r="F26" s="21" t="s">
        <v>290</v>
      </c>
      <c r="G26" s="10"/>
      <c r="H26" s="10"/>
      <c r="I26" s="10"/>
      <c r="J26" s="10"/>
      <c r="K26" s="13"/>
      <c r="L26" s="1"/>
    </row>
    <row r="27" ht="15.0" customHeight="1">
      <c r="A27" s="1"/>
      <c r="B27" s="16" t="s">
        <v>294</v>
      </c>
      <c r="C27" s="27">
        <f>DATOS!J11</f>
        <v>227.6</v>
      </c>
      <c r="D27" s="27">
        <f>DATOS!K11</f>
        <v>252.8</v>
      </c>
      <c r="E27" s="23">
        <f>IFERROR((DATOS!K11-DATOS!J11)/ABS(DATOS!J11),"—")</f>
        <v>0.1107205624</v>
      </c>
      <c r="F27" s="53" t="s">
        <v>300</v>
      </c>
      <c r="G27" s="10"/>
      <c r="H27" s="10"/>
      <c r="I27" s="10"/>
      <c r="J27" s="10"/>
      <c r="K27" s="13"/>
      <c r="L27" s="1"/>
    </row>
    <row r="28" ht="15.0" customHeight="1">
      <c r="A28" s="1"/>
      <c r="B28" s="17" t="s">
        <v>301</v>
      </c>
      <c r="C28" s="19">
        <f>DATOS!J15</f>
        <v>86.8</v>
      </c>
      <c r="D28" s="19">
        <f>DATOS!K15</f>
        <v>81.4</v>
      </c>
      <c r="E28" s="23">
        <f>IFERROR((DATOS!K15-DATOS!J15)/ABS(DATOS!J15),"—")</f>
        <v>-0.06221198157</v>
      </c>
      <c r="F28" s="53" t="s">
        <v>302</v>
      </c>
      <c r="G28" s="10"/>
      <c r="H28" s="10"/>
      <c r="I28" s="10"/>
      <c r="J28" s="10"/>
      <c r="K28" s="13"/>
      <c r="L28" s="1"/>
    </row>
    <row r="29" ht="15.0" customHeight="1">
      <c r="A29" s="1"/>
      <c r="B29" s="16" t="s">
        <v>303</v>
      </c>
      <c r="C29" s="27">
        <f>DATOS!J21</f>
        <v>54</v>
      </c>
      <c r="D29" s="27">
        <f>DATOS!K21</f>
        <v>11.2</v>
      </c>
      <c r="E29" s="23">
        <f>IFERROR((DATOS!K21-DATOS!J21)/ABS(DATOS!J21),"—")</f>
        <v>-0.7925925926</v>
      </c>
      <c r="F29" s="53" t="s">
        <v>304</v>
      </c>
      <c r="G29" s="10"/>
      <c r="H29" s="10"/>
      <c r="I29" s="10"/>
      <c r="J29" s="10"/>
      <c r="K29" s="13"/>
      <c r="L29" s="1"/>
    </row>
    <row r="30" ht="15.0" customHeight="1">
      <c r="A30" s="1"/>
      <c r="B30" s="16" t="s">
        <v>305</v>
      </c>
      <c r="C30" s="27">
        <f>DATOS!J29</f>
        <v>56.1</v>
      </c>
      <c r="D30" s="27">
        <f>DATOS!K29</f>
        <v>26.8</v>
      </c>
      <c r="E30" s="23">
        <f>IFERROR((DATOS!K29-DATOS!J29)/ABS(DATOS!J29),"—")</f>
        <v>-0.5222816399</v>
      </c>
      <c r="F30" s="53" t="s">
        <v>306</v>
      </c>
      <c r="G30" s="10"/>
      <c r="H30" s="10"/>
      <c r="I30" s="10"/>
      <c r="J30" s="10"/>
      <c r="K30" s="13"/>
      <c r="L30" s="1"/>
    </row>
    <row r="31" ht="15.0" customHeight="1">
      <c r="A31" s="1"/>
      <c r="B31" s="17" t="s">
        <v>307</v>
      </c>
      <c r="C31" s="19">
        <f>DATOS!J30</f>
        <v>63.1</v>
      </c>
      <c r="D31" s="19">
        <f>DATOS!K30</f>
        <v>62.2</v>
      </c>
      <c r="E31" s="23">
        <f>IFERROR((DATOS!K30-DATOS!J30)/ABS(DATOS!J30),"—")</f>
        <v>-0.01426307448</v>
      </c>
      <c r="F31" s="53" t="s">
        <v>308</v>
      </c>
      <c r="G31" s="10"/>
      <c r="H31" s="10"/>
      <c r="I31" s="10"/>
      <c r="J31" s="10"/>
      <c r="K31" s="13"/>
      <c r="L31" s="1"/>
    </row>
    <row r="32" ht="15.75" customHeight="1">
      <c r="A32" s="1"/>
      <c r="B32" s="1"/>
      <c r="C32" s="1"/>
      <c r="D32" s="1"/>
      <c r="E32" s="1"/>
      <c r="F32" s="1"/>
      <c r="G32" s="1"/>
      <c r="H32" s="1"/>
      <c r="I32" s="1"/>
      <c r="J32" s="1"/>
      <c r="K32" s="1"/>
      <c r="L32" s="1"/>
    </row>
    <row r="33" ht="43.5" customHeight="1">
      <c r="A33" s="1"/>
      <c r="B33" s="45" t="s">
        <v>309</v>
      </c>
      <c r="L33" s="1"/>
    </row>
    <row r="34" ht="15.75" customHeight="1">
      <c r="A34" s="1"/>
      <c r="B34" s="1"/>
      <c r="C34" s="1"/>
      <c r="D34" s="1"/>
      <c r="E34" s="1"/>
      <c r="F34" s="1"/>
      <c r="G34" s="1"/>
      <c r="H34" s="1"/>
      <c r="I34" s="1"/>
      <c r="J34" s="1"/>
      <c r="K34" s="1"/>
      <c r="L34" s="1"/>
    </row>
    <row r="35" ht="15.75" customHeight="1">
      <c r="A35" s="1"/>
      <c r="B35" s="1"/>
      <c r="C35" s="1"/>
      <c r="D35" s="1"/>
      <c r="E35" s="1"/>
      <c r="F35" s="1"/>
      <c r="G35" s="1"/>
      <c r="H35" s="1"/>
      <c r="I35" s="1"/>
      <c r="J35" s="1"/>
      <c r="K35" s="1"/>
      <c r="L35" s="1"/>
    </row>
    <row r="36" ht="15.75" customHeight="1">
      <c r="A36" s="1"/>
      <c r="B36" s="1"/>
      <c r="C36" s="1"/>
      <c r="D36" s="1"/>
      <c r="E36" s="1"/>
      <c r="F36" s="1"/>
      <c r="G36" s="1"/>
      <c r="H36" s="1"/>
      <c r="I36" s="1"/>
      <c r="J36" s="1"/>
      <c r="K36" s="1"/>
      <c r="L36" s="1"/>
    </row>
    <row r="37" ht="15.75" customHeight="1">
      <c r="A37" s="1"/>
      <c r="B37" s="1"/>
      <c r="C37" s="1"/>
      <c r="D37" s="1"/>
      <c r="E37" s="1"/>
      <c r="F37" s="1"/>
      <c r="G37" s="1"/>
      <c r="H37" s="1"/>
      <c r="I37" s="1"/>
      <c r="J37" s="1"/>
      <c r="K37" s="1"/>
      <c r="L37" s="1"/>
    </row>
    <row r="38" ht="15.75" customHeight="1">
      <c r="A38" s="1"/>
      <c r="B38" s="1"/>
      <c r="C38" s="1"/>
      <c r="D38" s="1"/>
      <c r="E38" s="1"/>
      <c r="F38" s="1"/>
      <c r="G38" s="1"/>
      <c r="H38" s="1"/>
      <c r="I38" s="1"/>
      <c r="J38" s="1"/>
      <c r="K38" s="1"/>
      <c r="L38" s="1"/>
    </row>
    <row r="39" ht="15.75" customHeight="1">
      <c r="A39" s="1"/>
      <c r="B39" s="1"/>
      <c r="C39" s="1"/>
      <c r="D39" s="1"/>
      <c r="E39" s="1"/>
      <c r="F39" s="1"/>
      <c r="G39" s="1"/>
      <c r="H39" s="1"/>
      <c r="I39" s="1"/>
      <c r="J39" s="1"/>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3">
    <mergeCell ref="F27:K27"/>
    <mergeCell ref="F28:K28"/>
    <mergeCell ref="F29:K29"/>
    <mergeCell ref="F30:K30"/>
    <mergeCell ref="F31:K31"/>
    <mergeCell ref="B33:K33"/>
    <mergeCell ref="B2:L2"/>
    <mergeCell ref="B3:L3"/>
    <mergeCell ref="C5:E5"/>
    <mergeCell ref="F5:H5"/>
    <mergeCell ref="I5:K5"/>
    <mergeCell ref="B25:K25"/>
    <mergeCell ref="F26:K2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38.0"/>
    <col customWidth="1" min="3" max="6" width="13.0"/>
    <col customWidth="1" min="7" max="7" width="42.0"/>
    <col customWidth="1" min="8" max="26" width="8.71"/>
  </cols>
  <sheetData>
    <row r="1">
      <c r="A1" s="1"/>
      <c r="B1" s="1"/>
      <c r="C1" s="1"/>
      <c r="D1" s="1"/>
      <c r="E1" s="1"/>
      <c r="F1" s="1"/>
      <c r="G1" s="1"/>
    </row>
    <row r="2" ht="21.75" customHeight="1">
      <c r="A2" s="1"/>
      <c r="B2" s="3" t="s">
        <v>3</v>
      </c>
      <c r="C2" s="4"/>
      <c r="D2" s="4"/>
      <c r="E2" s="4"/>
      <c r="F2" s="4"/>
      <c r="G2" s="5"/>
    </row>
    <row r="3" ht="15.0" customHeight="1">
      <c r="A3" s="1"/>
      <c r="B3" s="6" t="s">
        <v>4</v>
      </c>
    </row>
    <row r="4">
      <c r="A4" s="1"/>
      <c r="B4" s="1"/>
      <c r="C4" s="1"/>
      <c r="D4" s="1"/>
      <c r="E4" s="1"/>
      <c r="F4" s="1"/>
      <c r="G4" s="1"/>
    </row>
    <row r="5" ht="15.0" customHeight="1">
      <c r="A5" s="1"/>
      <c r="B5" s="7" t="s">
        <v>7</v>
      </c>
      <c r="C5" s="11" t="s">
        <v>11</v>
      </c>
      <c r="D5" s="11" t="s">
        <v>13</v>
      </c>
      <c r="E5" s="11" t="s">
        <v>14</v>
      </c>
      <c r="F5" s="11" t="s">
        <v>15</v>
      </c>
      <c r="G5" s="7" t="s">
        <v>16</v>
      </c>
    </row>
    <row r="6" ht="15.0" customHeight="1">
      <c r="A6" s="1"/>
      <c r="B6" s="14" t="s">
        <v>17</v>
      </c>
      <c r="C6" s="12"/>
      <c r="D6" s="12"/>
      <c r="E6" s="12"/>
      <c r="F6" s="12"/>
      <c r="G6" s="12"/>
    </row>
    <row r="7" ht="15.0" customHeight="1">
      <c r="A7" s="1"/>
      <c r="B7" s="17" t="s">
        <v>21</v>
      </c>
      <c r="C7" s="19">
        <f>DATOS!C37</f>
        <v>201.2</v>
      </c>
      <c r="D7" s="19">
        <f>DATOS!E37</f>
        <v>1957.2</v>
      </c>
      <c r="E7" s="19">
        <f>DATOS!G37</f>
        <v>1868.2</v>
      </c>
      <c r="F7" s="19">
        <f>DATOS!I37</f>
        <v>1868.5</v>
      </c>
      <c r="G7" s="22" t="s">
        <v>33</v>
      </c>
    </row>
    <row r="8" ht="15.0" customHeight="1">
      <c r="A8" s="1"/>
      <c r="B8" s="17" t="s">
        <v>36</v>
      </c>
      <c r="C8" s="19" t="str">
        <f>DATOS!C38</f>
        <v/>
      </c>
      <c r="D8" s="19">
        <f>DATOS!E38</f>
        <v>30.7</v>
      </c>
      <c r="E8" s="19">
        <f>DATOS!G38</f>
        <v>41.8</v>
      </c>
      <c r="F8" s="19">
        <f>DATOS!I38</f>
        <v>25.6</v>
      </c>
      <c r="G8" s="22"/>
    </row>
    <row r="9" ht="15.0" customHeight="1">
      <c r="A9" s="1"/>
      <c r="B9" s="17" t="s">
        <v>45</v>
      </c>
      <c r="C9" s="19" t="str">
        <f>DATOS!C39</f>
        <v/>
      </c>
      <c r="D9" s="19">
        <f>DATOS!E39</f>
        <v>322.9</v>
      </c>
      <c r="E9" s="19">
        <f>DATOS!G39</f>
        <v>336</v>
      </c>
      <c r="F9" s="19">
        <f>DATOS!I39</f>
        <v>377.1</v>
      </c>
      <c r="G9" s="22" t="s">
        <v>54</v>
      </c>
    </row>
    <row r="10" ht="15.0" customHeight="1">
      <c r="A10" s="1"/>
      <c r="B10" s="17" t="s">
        <v>55</v>
      </c>
      <c r="C10" s="19" t="str">
        <f>DATOS!C41</f>
        <v/>
      </c>
      <c r="D10" s="19">
        <f>DATOS!E41</f>
        <v>11.9</v>
      </c>
      <c r="E10" s="19">
        <f>DATOS!G41</f>
        <v>12.4</v>
      </c>
      <c r="F10" s="19">
        <f>DATOS!I41</f>
        <v>12.7</v>
      </c>
      <c r="G10" s="22"/>
    </row>
    <row r="11" ht="15.0" customHeight="1">
      <c r="A11" s="1"/>
      <c r="B11" s="16" t="s">
        <v>66</v>
      </c>
      <c r="C11" s="27" t="str">
        <f>DATOS!C42</f>
        <v/>
      </c>
      <c r="D11" s="27">
        <f>DATOS!E42</f>
        <v>2363.6</v>
      </c>
      <c r="E11" s="27">
        <f>DATOS!G42</f>
        <v>2295.4</v>
      </c>
      <c r="F11" s="27">
        <f>DATOS!I42</f>
        <v>2317.1</v>
      </c>
      <c r="G11" s="22"/>
    </row>
    <row r="12" ht="15.0" customHeight="1">
      <c r="A12" s="1"/>
      <c r="B12" s="17" t="s">
        <v>83</v>
      </c>
      <c r="C12" s="19" t="str">
        <f>DATOS!C43</f>
        <v/>
      </c>
      <c r="D12" s="19">
        <f>DATOS!E43</f>
        <v>29.5</v>
      </c>
      <c r="E12" s="19">
        <f>DATOS!G43</f>
        <v>59.5</v>
      </c>
      <c r="F12" s="19">
        <f>DATOS!I43</f>
        <v>142.5</v>
      </c>
      <c r="G12" s="22" t="s">
        <v>89</v>
      </c>
    </row>
    <row r="13" ht="15.0" customHeight="1">
      <c r="A13" s="1"/>
      <c r="B13" s="17" t="s">
        <v>92</v>
      </c>
      <c r="C13" s="19" t="str">
        <f>DATOS!C45</f>
        <v/>
      </c>
      <c r="D13" s="19">
        <f>DATOS!E45</f>
        <v>21.2</v>
      </c>
      <c r="E13" s="19">
        <f>DATOS!G45</f>
        <v>19.4</v>
      </c>
      <c r="F13" s="19">
        <f>DATOS!I45</f>
        <v>16.9</v>
      </c>
      <c r="G13" s="22"/>
    </row>
    <row r="14" ht="15.0" customHeight="1">
      <c r="A14" s="1"/>
      <c r="B14" s="16" t="s">
        <v>97</v>
      </c>
      <c r="C14" s="27" t="str">
        <f>DATOS!C48</f>
        <v/>
      </c>
      <c r="D14" s="27">
        <f>DATOS!E48</f>
        <v>2445.9</v>
      </c>
      <c r="E14" s="27">
        <f>DATOS!G48</f>
        <v>2433.2</v>
      </c>
      <c r="F14" s="27">
        <f>DATOS!I48</f>
        <v>2531</v>
      </c>
      <c r="G14" s="22"/>
    </row>
    <row r="15" ht="15.0" customHeight="1">
      <c r="A15" s="1"/>
      <c r="B15" s="14" t="s">
        <v>103</v>
      </c>
      <c r="C15" s="12"/>
      <c r="D15" s="12"/>
      <c r="E15" s="12"/>
      <c r="F15" s="12"/>
      <c r="G15" s="12"/>
    </row>
    <row r="16" ht="15.0" customHeight="1">
      <c r="A16" s="1"/>
      <c r="B16" s="17" t="s">
        <v>105</v>
      </c>
      <c r="C16" s="19" t="str">
        <f>DATOS!C49</f>
        <v/>
      </c>
      <c r="D16" s="19">
        <f>DATOS!E49</f>
        <v>41.6</v>
      </c>
      <c r="E16" s="19">
        <f>DATOS!G49</f>
        <v>49.5</v>
      </c>
      <c r="F16" s="19">
        <f>DATOS!I49</f>
        <v>74</v>
      </c>
      <c r="G16" s="22"/>
    </row>
    <row r="17" ht="15.0" customHeight="1">
      <c r="A17" s="1"/>
      <c r="B17" s="17" t="s">
        <v>111</v>
      </c>
      <c r="C17" s="19" t="str">
        <f>DATOS!C51</f>
        <v/>
      </c>
      <c r="D17" s="19">
        <f>DATOS!E51</f>
        <v>192.7</v>
      </c>
      <c r="E17" s="19">
        <f>DATOS!G51</f>
        <v>170.8</v>
      </c>
      <c r="F17" s="19">
        <f>DATOS!I51</f>
        <v>235.7</v>
      </c>
      <c r="G17" s="22" t="s">
        <v>118</v>
      </c>
    </row>
    <row r="18" ht="15.0" customHeight="1">
      <c r="A18" s="1"/>
      <c r="B18" s="17" t="s">
        <v>119</v>
      </c>
      <c r="C18" s="19" t="str">
        <f>DATOS!C52</f>
        <v/>
      </c>
      <c r="D18" s="19">
        <f>DATOS!E52</f>
        <v>131.1</v>
      </c>
      <c r="E18" s="19">
        <f>DATOS!G52</f>
        <v>112.8</v>
      </c>
      <c r="F18" s="19">
        <f>DATOS!I52</f>
        <v>85</v>
      </c>
      <c r="G18" s="22" t="s">
        <v>125</v>
      </c>
    </row>
    <row r="19" ht="15.0" customHeight="1">
      <c r="A19" s="1"/>
      <c r="B19" s="16" t="s">
        <v>127</v>
      </c>
      <c r="C19" s="27" t="str">
        <f>DATOS!C54</f>
        <v/>
      </c>
      <c r="D19" s="27">
        <f>DATOS!E54</f>
        <v>422.8</v>
      </c>
      <c r="E19" s="27">
        <f>DATOS!G54</f>
        <v>401.3</v>
      </c>
      <c r="F19" s="27">
        <f>DATOS!I54</f>
        <v>429.5</v>
      </c>
      <c r="G19" s="22"/>
    </row>
    <row r="20" ht="15.0" customHeight="1">
      <c r="A20" s="1"/>
      <c r="B20" s="17" t="s">
        <v>132</v>
      </c>
      <c r="C20" s="19" t="str">
        <f>DATOS!C55</f>
        <v/>
      </c>
      <c r="D20" s="19">
        <f>DATOS!E55</f>
        <v>1174.8</v>
      </c>
      <c r="E20" s="19">
        <f>DATOS!G55</f>
        <v>1176.1</v>
      </c>
      <c r="F20" s="19">
        <f>DATOS!I55</f>
        <v>1177.5</v>
      </c>
      <c r="G20" s="22" t="s">
        <v>137</v>
      </c>
    </row>
    <row r="21" ht="15.0" customHeight="1">
      <c r="A21" s="1"/>
      <c r="B21" s="16" t="s">
        <v>138</v>
      </c>
      <c r="C21" s="27" t="str">
        <f>DATOS!C59</f>
        <v/>
      </c>
      <c r="D21" s="27">
        <f>DATOS!E59</f>
        <v>1680.8</v>
      </c>
      <c r="E21" s="27">
        <f>DATOS!G59</f>
        <v>1658</v>
      </c>
      <c r="F21" s="27">
        <f>DATOS!I59</f>
        <v>1685.6</v>
      </c>
      <c r="G21" s="22"/>
    </row>
    <row r="22" ht="15.0" customHeight="1">
      <c r="A22" s="1"/>
      <c r="B22" s="16" t="s">
        <v>145</v>
      </c>
      <c r="C22" s="27" t="str">
        <f>DATOS!C60</f>
        <v/>
      </c>
      <c r="D22" s="27">
        <f>DATOS!E60</f>
        <v>765.1</v>
      </c>
      <c r="E22" s="27">
        <f>DATOS!G60</f>
        <v>775.2</v>
      </c>
      <c r="F22" s="27">
        <f>DATOS!I60</f>
        <v>845.4</v>
      </c>
      <c r="G22" s="22" t="s">
        <v>149</v>
      </c>
    </row>
    <row r="23" ht="15.75" customHeight="1">
      <c r="A23" s="1"/>
      <c r="B23" s="1"/>
      <c r="C23" s="1"/>
      <c r="D23" s="1"/>
      <c r="E23" s="1"/>
      <c r="F23" s="1"/>
      <c r="G23" s="1"/>
    </row>
    <row r="24" ht="15.0" customHeight="1">
      <c r="A24" s="1"/>
      <c r="B24" s="14" t="s">
        <v>152</v>
      </c>
      <c r="C24" s="12"/>
      <c r="D24" s="12"/>
      <c r="E24" s="12"/>
      <c r="F24" s="12"/>
      <c r="G24" s="12"/>
    </row>
    <row r="25" ht="15.0" customHeight="1">
      <c r="A25" s="1"/>
      <c r="B25" s="17" t="s">
        <v>153</v>
      </c>
      <c r="C25" s="40">
        <f>IFERROR(DATOS!C55-DATOS!C37,"—")</f>
        <v>-201.2</v>
      </c>
      <c r="D25" s="40">
        <f>IFERROR(DATOS!E55-DATOS!E37,"—")</f>
        <v>-782.4</v>
      </c>
      <c r="E25" s="40">
        <f>IFERROR(DATOS!G55-DATOS!G37,"—")</f>
        <v>-692.1</v>
      </c>
      <c r="F25" s="40">
        <f>IFERROR(DATOS!I55-DATOS!I37,"—")</f>
        <v>-691</v>
      </c>
      <c r="G25" s="22" t="s">
        <v>166</v>
      </c>
    </row>
    <row r="26" ht="15.0" customHeight="1">
      <c r="A26" s="1"/>
      <c r="B26" s="17" t="s">
        <v>168</v>
      </c>
      <c r="C26" s="40">
        <f>IFERROR(DATOS!C42-DATOS!C54,"—")</f>
        <v>0</v>
      </c>
      <c r="D26" s="40">
        <f>IFERROR(DATOS!E42-DATOS!E54,"—")</f>
        <v>1940.8</v>
      </c>
      <c r="E26" s="40">
        <f>IFERROR(DATOS!G42-DATOS!G54,"—")</f>
        <v>1894.1</v>
      </c>
      <c r="F26" s="40">
        <f>IFERROR(DATOS!I42-DATOS!I54,"—")</f>
        <v>1887.6</v>
      </c>
      <c r="G26" s="22" t="s">
        <v>175</v>
      </c>
    </row>
    <row r="27" ht="15.0" customHeight="1">
      <c r="A27" s="1"/>
      <c r="B27" s="17" t="s">
        <v>177</v>
      </c>
      <c r="C27" s="44" t="str">
        <f>IFERROR(DATOS!C42/DATOS!C54,"—")</f>
        <v>—</v>
      </c>
      <c r="D27" s="44">
        <f>IFERROR(DATOS!E42/DATOS!E54,"—")</f>
        <v>5.590350047</v>
      </c>
      <c r="E27" s="44">
        <f>IFERROR(DATOS!G42/DATOS!G54,"—")</f>
        <v>5.719910292</v>
      </c>
      <c r="F27" s="44">
        <f>IFERROR(DATOS!I42/DATOS!I54,"—")</f>
        <v>5.394877765</v>
      </c>
      <c r="G27" s="22" t="s">
        <v>186</v>
      </c>
    </row>
    <row r="28" ht="15.0" customHeight="1">
      <c r="A28" s="1"/>
      <c r="B28" s="17" t="s">
        <v>187</v>
      </c>
      <c r="C28" s="44" t="str">
        <f>IFERROR(DATOS!C55/DATOS!C60,"—")</f>
        <v>—</v>
      </c>
      <c r="D28" s="44">
        <f>IFERROR(DATOS!E55/DATOS!E60,"—")</f>
        <v>1.535485557</v>
      </c>
      <c r="E28" s="44">
        <f>IFERROR(DATOS!G55/DATOS!G60,"—")</f>
        <v>1.517156863</v>
      </c>
      <c r="F28" s="44">
        <f>IFERROR(DATOS!I55/DATOS!I60,"—")</f>
        <v>1.392831796</v>
      </c>
      <c r="G28" s="22" t="s">
        <v>198</v>
      </c>
    </row>
    <row r="29" ht="15.75" customHeight="1">
      <c r="A29" s="1"/>
      <c r="B29" s="1"/>
      <c r="C29" s="1"/>
      <c r="D29" s="1"/>
      <c r="E29" s="1"/>
      <c r="F29" s="1"/>
      <c r="G29" s="1"/>
    </row>
    <row r="30" ht="43.5" customHeight="1">
      <c r="A30" s="1"/>
      <c r="B30" s="45" t="s">
        <v>199</v>
      </c>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3">
    <mergeCell ref="B2:G2"/>
    <mergeCell ref="B3:G3"/>
    <mergeCell ref="B30:G3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5" width="13.0"/>
    <col customWidth="1" min="6" max="6" width="46.0"/>
    <col customWidth="1" min="7" max="26" width="8.71"/>
  </cols>
  <sheetData>
    <row r="1">
      <c r="A1" s="1"/>
      <c r="B1" s="1"/>
      <c r="C1" s="1"/>
      <c r="D1" s="1"/>
      <c r="E1" s="1"/>
      <c r="F1" s="1"/>
    </row>
    <row r="2" ht="24.0" customHeight="1">
      <c r="A2" s="1"/>
      <c r="B2" s="54" t="s">
        <v>310</v>
      </c>
      <c r="C2" s="4"/>
      <c r="D2" s="4"/>
      <c r="E2" s="4"/>
      <c r="F2" s="5"/>
    </row>
    <row r="3" ht="15.0" customHeight="1">
      <c r="A3" s="1"/>
      <c r="B3" s="6" t="s">
        <v>312</v>
      </c>
    </row>
    <row r="4">
      <c r="A4" s="1"/>
      <c r="B4" s="1"/>
      <c r="C4" s="1"/>
      <c r="D4" s="1"/>
      <c r="E4" s="1"/>
      <c r="F4" s="1"/>
    </row>
    <row r="5" ht="15.0" customHeight="1">
      <c r="A5" s="1"/>
      <c r="B5" s="7" t="s">
        <v>314</v>
      </c>
      <c r="C5" s="11" t="s">
        <v>61</v>
      </c>
      <c r="D5" s="11" t="s">
        <v>63</v>
      </c>
      <c r="E5" s="11" t="s">
        <v>65</v>
      </c>
      <c r="F5" s="7" t="s">
        <v>315</v>
      </c>
    </row>
    <row r="6" ht="15.0" customHeight="1">
      <c r="A6" s="1"/>
      <c r="B6" s="55" t="s">
        <v>316</v>
      </c>
      <c r="C6" s="56"/>
      <c r="D6" s="56"/>
      <c r="E6" s="56"/>
      <c r="F6" s="56"/>
    </row>
    <row r="7" ht="15.0" customHeight="1">
      <c r="A7" s="1"/>
      <c r="B7" s="17" t="s">
        <v>177</v>
      </c>
      <c r="C7" s="44" t="str">
        <f>IFERROR(DATOS!C42/DATOS!C54,"n/d")</f>
        <v>n/d</v>
      </c>
      <c r="D7" s="44" t="str">
        <f>IFERROR(DATOS!D42/DATOS!D54,"n/d")</f>
        <v>n/d</v>
      </c>
      <c r="E7" s="44">
        <f>IFERROR(DATOS!E42/DATOS!E54,"n/d")</f>
        <v>5.590350047</v>
      </c>
      <c r="F7" s="28" t="s">
        <v>325</v>
      </c>
    </row>
    <row r="8" ht="15.0" customHeight="1">
      <c r="A8" s="1"/>
      <c r="B8" s="17" t="s">
        <v>326</v>
      </c>
      <c r="C8" s="44" t="str">
        <f>IFERROR((DATOS!C42-DATOS!C39)/DATOS!C54,"n/d")</f>
        <v>n/d</v>
      </c>
      <c r="D8" s="44" t="str">
        <f>IFERROR((DATOS!D42-DATOS!D39)/DATOS!D54,"n/d")</f>
        <v>n/d</v>
      </c>
      <c r="E8" s="44">
        <f>IFERROR((DATOS!E42-DATOS!E39)/DATOS!E54,"n/d")</f>
        <v>4.826631977</v>
      </c>
      <c r="F8" s="28" t="s">
        <v>327</v>
      </c>
    </row>
    <row r="9" ht="15.0" customHeight="1">
      <c r="A9" s="1"/>
      <c r="B9" s="17" t="s">
        <v>328</v>
      </c>
      <c r="C9" s="44" t="str">
        <f>IFERROR(DATOS!C37/DATOS!C54,"n/d")</f>
        <v>n/d</v>
      </c>
      <c r="D9" s="44" t="str">
        <f>IFERROR(DATOS!D37/DATOS!D54,"n/d")</f>
        <v>n/d</v>
      </c>
      <c r="E9" s="44">
        <f>IFERROR(DATOS!E37/DATOS!E54,"n/d")</f>
        <v>4.629139073</v>
      </c>
      <c r="F9" s="28" t="s">
        <v>329</v>
      </c>
    </row>
    <row r="10" ht="15.0" customHeight="1">
      <c r="A10" s="1"/>
      <c r="B10" s="17" t="s">
        <v>330</v>
      </c>
      <c r="C10" s="40">
        <f>IFERROR(DATOS!C42-DATOS!C54,"n/d")</f>
        <v>0</v>
      </c>
      <c r="D10" s="40">
        <f>IFERROR(DATOS!D42-DATOS!D54,"n/d")</f>
        <v>0</v>
      </c>
      <c r="E10" s="40">
        <f>IFERROR(DATOS!E42-DATOS!E54,"n/d")</f>
        <v>1940.8</v>
      </c>
      <c r="F10" s="28" t="s">
        <v>333</v>
      </c>
    </row>
    <row r="11" ht="15.0" customHeight="1">
      <c r="A11" s="1"/>
      <c r="B11" s="55" t="s">
        <v>334</v>
      </c>
      <c r="C11" s="56"/>
      <c r="D11" s="56"/>
      <c r="E11" s="56"/>
      <c r="F11" s="56"/>
    </row>
    <row r="12" ht="15.0" customHeight="1">
      <c r="A12" s="1"/>
      <c r="B12" s="17" t="s">
        <v>335</v>
      </c>
      <c r="C12" s="44" t="str">
        <f>IFERROR(DATOS!C11/DATOS!C38,"n/d")</f>
        <v>n/d</v>
      </c>
      <c r="D12" s="44" t="str">
        <f>IFERROR(DATOS!D11/DATOS!D38,"n/d")</f>
        <v>n/d</v>
      </c>
      <c r="E12" s="44">
        <f>IFERROR(DATOS!E11/DATOS!E38,"n/d")</f>
        <v>14.61563518</v>
      </c>
      <c r="F12" s="28" t="s">
        <v>336</v>
      </c>
    </row>
    <row r="13" ht="15.0" customHeight="1">
      <c r="A13" s="1"/>
      <c r="B13" s="17" t="s">
        <v>337</v>
      </c>
      <c r="C13" s="58">
        <f>IFERROR(365*DATOS!C38/DATOS!C11,"n/d")</f>
        <v>0</v>
      </c>
      <c r="D13" s="58">
        <f>IFERROR(365*DATOS!D38/DATOS!D11,"n/d")</f>
        <v>0</v>
      </c>
      <c r="E13" s="58">
        <f>IFERROR(365*DATOS!E38/DATOS!E11,"n/d")</f>
        <v>24.97325607</v>
      </c>
      <c r="F13" s="28" t="s">
        <v>339</v>
      </c>
    </row>
    <row r="14" ht="15.0" customHeight="1">
      <c r="A14" s="1"/>
      <c r="B14" s="17" t="s">
        <v>340</v>
      </c>
      <c r="C14" s="44" t="str">
        <f>IFERROR(DATOS!C14/DATOS!C39,"n/d")</f>
        <v>n/d</v>
      </c>
      <c r="D14" s="44" t="str">
        <f>IFERROR(DATOS!D14/DATOS!D39,"n/d")</f>
        <v>n/d</v>
      </c>
      <c r="E14" s="44">
        <f>IFERROR(DATOS!E14/DATOS!E39,"n/d")</f>
        <v>1.025704552</v>
      </c>
      <c r="F14" s="28" t="s">
        <v>341</v>
      </c>
    </row>
    <row r="15" ht="15.0" customHeight="1">
      <c r="A15" s="1"/>
      <c r="B15" s="17" t="s">
        <v>342</v>
      </c>
      <c r="C15" s="58">
        <f>IFERROR(365*DATOS!C39/DATOS!C14,"n/d")</f>
        <v>0</v>
      </c>
      <c r="D15" s="58">
        <f>IFERROR(365*DATOS!D39/DATOS!D14,"n/d")</f>
        <v>0</v>
      </c>
      <c r="E15" s="58">
        <f>IFERROR(365*DATOS!E39/DATOS!E14,"n/d")</f>
        <v>355.8529589</v>
      </c>
      <c r="F15" s="28" t="s">
        <v>345</v>
      </c>
    </row>
    <row r="16" ht="15.0" customHeight="1">
      <c r="A16" s="1"/>
      <c r="B16" s="17" t="s">
        <v>346</v>
      </c>
      <c r="C16" s="44" t="str">
        <f>IFERROR(DATOS!C14/DATOS!C49,"n/d")</f>
        <v>n/d</v>
      </c>
      <c r="D16" s="44" t="str">
        <f>IFERROR(DATOS!D14/DATOS!D49,"n/d")</f>
        <v>n/d</v>
      </c>
      <c r="E16" s="44">
        <f>IFERROR(DATOS!E14/DATOS!E49,"n/d")</f>
        <v>7.961538462</v>
      </c>
      <c r="F16" s="28" t="s">
        <v>347</v>
      </c>
    </row>
    <row r="17" ht="15.0" customHeight="1">
      <c r="A17" s="1"/>
      <c r="B17" s="17" t="s">
        <v>348</v>
      </c>
      <c r="C17" s="58">
        <f>IFERROR(365*DATOS!C49/DATOS!C14,"n/d")</f>
        <v>0</v>
      </c>
      <c r="D17" s="58">
        <f>IFERROR(365*DATOS!D49/DATOS!D14,"n/d")</f>
        <v>0</v>
      </c>
      <c r="E17" s="58">
        <f>IFERROR(365*DATOS!E49/DATOS!E14,"n/d")</f>
        <v>45.84541063</v>
      </c>
      <c r="F17" s="28" t="s">
        <v>351</v>
      </c>
    </row>
    <row r="18" ht="15.0" customHeight="1">
      <c r="A18" s="1"/>
      <c r="B18" s="16" t="s">
        <v>352</v>
      </c>
      <c r="C18" s="58">
        <f>IFERROR(365*DATOS!C39/DATOS!C14+365*DATOS!C38/DATOS!C11-365*DATOS!C49/DATOS!C14,"n/d")</f>
        <v>0</v>
      </c>
      <c r="D18" s="58">
        <f>IFERROR(365*DATOS!D39/DATOS!D14+365*DATOS!D38/DATOS!D11-365*DATOS!D49/DATOS!D14,"n/d")</f>
        <v>0</v>
      </c>
      <c r="E18" s="58">
        <f>IFERROR(365*DATOS!E39/DATOS!E14+365*DATOS!E38/DATOS!E11-365*DATOS!E49/DATOS!E14,"n/d")</f>
        <v>334.9808044</v>
      </c>
      <c r="F18" s="28" t="s">
        <v>354</v>
      </c>
    </row>
    <row r="19" ht="15.0" customHeight="1">
      <c r="A19" s="1"/>
      <c r="B19" s="17" t="s">
        <v>355</v>
      </c>
      <c r="C19" s="44" t="str">
        <f>IFERROR(DATOS!C11/DATOS!C48,"n/d")</f>
        <v>n/d</v>
      </c>
      <c r="D19" s="44" t="str">
        <f>IFERROR(DATOS!D11/DATOS!D48,"n/d")</f>
        <v>n/d</v>
      </c>
      <c r="E19" s="44">
        <f>IFERROR(DATOS!E11/DATOS!E48,"n/d")</f>
        <v>0.1834498549</v>
      </c>
      <c r="F19" s="28" t="s">
        <v>357</v>
      </c>
    </row>
    <row r="20" ht="15.0" customHeight="1">
      <c r="A20" s="1"/>
      <c r="B20" s="55" t="s">
        <v>358</v>
      </c>
      <c r="C20" s="56"/>
      <c r="D20" s="56"/>
      <c r="E20" s="56"/>
      <c r="F20" s="56"/>
    </row>
    <row r="21" ht="15.0" customHeight="1">
      <c r="A21" s="1"/>
      <c r="B21" s="17" t="s">
        <v>359</v>
      </c>
      <c r="C21" s="23" t="str">
        <f>IFERROR(DATOS!C59/DATOS!C48,"n/d")</f>
        <v>n/d</v>
      </c>
      <c r="D21" s="23" t="str">
        <f>IFERROR(DATOS!D59/DATOS!D48,"n/d")</f>
        <v>n/d</v>
      </c>
      <c r="E21" s="23">
        <f>IFERROR(DATOS!E59/DATOS!E48,"n/d")</f>
        <v>0.6871908091</v>
      </c>
      <c r="F21" s="28" t="s">
        <v>360</v>
      </c>
    </row>
    <row r="22" ht="15.0" customHeight="1">
      <c r="A22" s="1"/>
      <c r="B22" s="17" t="s">
        <v>361</v>
      </c>
      <c r="C22" s="44" t="str">
        <f>IFERROR(DATOS!C59/DATOS!C60,"n/d")</f>
        <v>n/d</v>
      </c>
      <c r="D22" s="44">
        <f>IFERROR(DATOS!D59/DATOS!D60,"n/d")</f>
        <v>0</v>
      </c>
      <c r="E22" s="44">
        <f>IFERROR(DATOS!E59/DATOS!E60,"n/d")</f>
        <v>2.196837015</v>
      </c>
      <c r="F22" s="28" t="s">
        <v>362</v>
      </c>
    </row>
    <row r="23" ht="15.0" customHeight="1">
      <c r="A23" s="1"/>
      <c r="B23" s="17" t="s">
        <v>363</v>
      </c>
      <c r="C23" s="44" t="str">
        <f>IFERROR(DATOS!C55/DATOS!C60,"n/d")</f>
        <v>n/d</v>
      </c>
      <c r="D23" s="44">
        <f>IFERROR(DATOS!D55/DATOS!D60,"n/d")</f>
        <v>0</v>
      </c>
      <c r="E23" s="44">
        <f>IFERROR(DATOS!E55/DATOS!E60,"n/d")</f>
        <v>1.535485557</v>
      </c>
      <c r="F23" s="28" t="s">
        <v>365</v>
      </c>
    </row>
    <row r="24" ht="15.0" customHeight="1">
      <c r="A24" s="1"/>
      <c r="B24" s="17" t="s">
        <v>366</v>
      </c>
      <c r="C24" s="44" t="str">
        <f>IFERROR(DATOS!C21/DATOS!C23,"n/d")</f>
        <v>n/d</v>
      </c>
      <c r="D24" s="44" t="str">
        <f>IFERROR(DATOS!D21/DATOS!D23,"n/d")</f>
        <v>n/d</v>
      </c>
      <c r="E24" s="44" t="str">
        <f>IFERROR(DATOS!E21/DATOS!E23,"n/d")</f>
        <v>n/d</v>
      </c>
      <c r="F24" s="28" t="s">
        <v>367</v>
      </c>
    </row>
    <row r="25" ht="15.0" customHeight="1">
      <c r="A25" s="1"/>
      <c r="B25" s="55" t="s">
        <v>368</v>
      </c>
      <c r="C25" s="56"/>
      <c r="D25" s="56"/>
      <c r="E25" s="56"/>
      <c r="F25" s="56"/>
    </row>
    <row r="26" ht="15.0" customHeight="1">
      <c r="A26" s="1"/>
      <c r="B26" s="17" t="s">
        <v>370</v>
      </c>
      <c r="C26" s="23">
        <f>IFERROR(DATOS!C15/DATOS!C11,"n/d")</f>
        <v>0.3500936914</v>
      </c>
      <c r="D26" s="23">
        <f>IFERROR(DATOS!D15/DATOS!D11,"n/d")</f>
        <v>0.2522624434</v>
      </c>
      <c r="E26" s="23">
        <f>IFERROR(DATOS!E15/DATOS!E11,"n/d")</f>
        <v>0.2618676176</v>
      </c>
      <c r="F26" s="28" t="s">
        <v>371</v>
      </c>
    </row>
    <row r="27" ht="15.0" customHeight="1">
      <c r="A27" s="1"/>
      <c r="B27" s="17" t="s">
        <v>372</v>
      </c>
      <c r="C27" s="23">
        <f>IFERROR(DATOS!C21/DATOS!C11,"n/d")</f>
        <v>0</v>
      </c>
      <c r="D27" s="23">
        <f>IFERROR(DATOS!D21/DATOS!D11,"n/d")</f>
        <v>0</v>
      </c>
      <c r="E27" s="23">
        <f>IFERROR(DATOS!E21/DATOS!E11,"n/d")</f>
        <v>0.1118787609</v>
      </c>
      <c r="F27" s="28" t="s">
        <v>374</v>
      </c>
    </row>
    <row r="28" ht="15.0" customHeight="1">
      <c r="A28" s="1"/>
      <c r="B28" s="17" t="s">
        <v>375</v>
      </c>
      <c r="C28" s="23">
        <f>IFERROR(DATOS!C29/DATOS!C11,"n/d")</f>
        <v>0.2635852592</v>
      </c>
      <c r="D28" s="23">
        <f>IFERROR(DATOS!D29/DATOS!D11,"n/d")</f>
        <v>0.1656108597</v>
      </c>
      <c r="E28" s="23">
        <f>IFERROR(DATOS!E29/DATOS!E11,"n/d")</f>
        <v>0.1733897927</v>
      </c>
      <c r="F28" s="28" t="s">
        <v>376</v>
      </c>
    </row>
    <row r="29" ht="15.0" customHeight="1">
      <c r="A29" s="1"/>
      <c r="B29" s="17" t="s">
        <v>377</v>
      </c>
      <c r="C29" s="23" t="str">
        <f>IFERROR(DATOS!C29/DATOS!C48,"n/d")</f>
        <v>n/d</v>
      </c>
      <c r="D29" s="23" t="str">
        <f>IFERROR(DATOS!D29/DATOS!D48,"n/d")</f>
        <v>n/d</v>
      </c>
      <c r="E29" s="23">
        <f>IFERROR(DATOS!E29/DATOS!E48,"n/d")</f>
        <v>0.03180833231</v>
      </c>
      <c r="F29" s="28" t="s">
        <v>378</v>
      </c>
    </row>
    <row r="30" ht="15.0" customHeight="1">
      <c r="A30" s="1"/>
      <c r="B30" s="17" t="s">
        <v>379</v>
      </c>
      <c r="C30" s="23" t="str">
        <f>IFERROR(DATOS!C29/DATOS!C60,"n/d")</f>
        <v>n/d</v>
      </c>
      <c r="D30" s="23">
        <f>IFERROR(DATOS!D29/DATOS!D60,"n/d")</f>
        <v>0.4535315985</v>
      </c>
      <c r="E30" s="23">
        <f>IFERROR(DATOS!E29/DATOS!E60,"n/d")</f>
        <v>0.1016860541</v>
      </c>
      <c r="F30" s="28" t="s">
        <v>380</v>
      </c>
    </row>
    <row r="31" ht="15.0" customHeight="1">
      <c r="A31" s="1"/>
      <c r="B31" s="55" t="s">
        <v>381</v>
      </c>
      <c r="C31" s="56"/>
      <c r="D31" s="56"/>
      <c r="E31" s="56"/>
      <c r="F31" s="56"/>
    </row>
    <row r="32" ht="15.0" customHeight="1">
      <c r="A32" s="1"/>
      <c r="B32" s="17" t="s">
        <v>382</v>
      </c>
      <c r="C32" s="23">
        <f>IFERROR(DATOS!C29/DATOS!C11,"n/d")</f>
        <v>0.2635852592</v>
      </c>
      <c r="D32" s="23">
        <f>IFERROR(DATOS!D29/DATOS!D11,"n/d")</f>
        <v>0.1656108597</v>
      </c>
      <c r="E32" s="23">
        <f>IFERROR(DATOS!E29/DATOS!E11,"n/d")</f>
        <v>0.1733897927</v>
      </c>
      <c r="F32" s="28" t="s">
        <v>384</v>
      </c>
    </row>
    <row r="33" ht="15.0" customHeight="1">
      <c r="A33" s="1"/>
      <c r="B33" s="17" t="s">
        <v>385</v>
      </c>
      <c r="C33" s="44" t="str">
        <f>IFERROR(DATOS!C11/DATOS!C48,"n/d")</f>
        <v>n/d</v>
      </c>
      <c r="D33" s="44" t="str">
        <f>IFERROR(DATOS!D11/DATOS!D48,"n/d")</f>
        <v>n/d</v>
      </c>
      <c r="E33" s="44">
        <f>IFERROR(DATOS!E11/DATOS!E48,"n/d")</f>
        <v>0.1834498549</v>
      </c>
      <c r="F33" s="28" t="s">
        <v>386</v>
      </c>
    </row>
    <row r="34" ht="15.0" customHeight="1">
      <c r="A34" s="1"/>
      <c r="B34" s="17" t="s">
        <v>387</v>
      </c>
      <c r="C34" s="44" t="str">
        <f>IFERROR(DATOS!C48/DATOS!C60,"n/d")</f>
        <v>n/d</v>
      </c>
      <c r="D34" s="44">
        <f>IFERROR(DATOS!D48/DATOS!D60,"n/d")</f>
        <v>0</v>
      </c>
      <c r="E34" s="44">
        <f>IFERROR(DATOS!E48/DATOS!E60,"n/d")</f>
        <v>3.196837015</v>
      </c>
      <c r="F34" s="28" t="s">
        <v>198</v>
      </c>
    </row>
    <row r="35" ht="15.0" customHeight="1">
      <c r="A35" s="1"/>
      <c r="B35" s="16" t="s">
        <v>388</v>
      </c>
      <c r="C35" s="23" t="str">
        <f>IFERROR((DATOS!C29/DATOS!C11)*(DATOS!C11/DATOS!C48)*(DATOS!C48/DATOS!C60),"n/d")</f>
        <v>n/d</v>
      </c>
      <c r="D35" s="23" t="str">
        <f>IFERROR((DATOS!D29/DATOS!D11)*(DATOS!D11/DATOS!D48)*(DATOS!D48/DATOS!D60),"n/d")</f>
        <v>n/d</v>
      </c>
      <c r="E35" s="23">
        <f>IFERROR((DATOS!E29/DATOS!E11)*(DATOS!E11/DATOS!E48)*(DATOS!E48/DATOS!E60),"n/d")</f>
        <v>0.1016860541</v>
      </c>
      <c r="F35" s="28" t="s">
        <v>390</v>
      </c>
    </row>
    <row r="36" ht="15.75" customHeight="1">
      <c r="A36" s="1"/>
      <c r="B36" s="1"/>
      <c r="C36" s="1"/>
      <c r="D36" s="1"/>
      <c r="E36" s="1"/>
      <c r="F36" s="1"/>
    </row>
    <row r="37" ht="55.5" customHeight="1">
      <c r="A37" s="1"/>
      <c r="B37" s="45" t="s">
        <v>391</v>
      </c>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3">
    <mergeCell ref="B2:F2"/>
    <mergeCell ref="B3:F3"/>
    <mergeCell ref="B37:F37"/>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0.0"/>
    <col customWidth="1" min="3" max="8" width="12.0"/>
    <col customWidth="1" min="9" max="9" width="32.0"/>
    <col customWidth="1" min="10" max="26" width="8.71"/>
  </cols>
  <sheetData>
    <row r="1">
      <c r="A1" s="1"/>
      <c r="B1" s="1"/>
      <c r="C1" s="1"/>
      <c r="D1" s="1"/>
      <c r="E1" s="1"/>
      <c r="F1" s="1"/>
      <c r="G1" s="1"/>
      <c r="H1" s="1"/>
      <c r="I1" s="1"/>
    </row>
    <row r="2" ht="24.0" customHeight="1">
      <c r="A2" s="1"/>
      <c r="B2" s="54" t="s">
        <v>311</v>
      </c>
      <c r="C2" s="4"/>
      <c r="D2" s="4"/>
      <c r="E2" s="4"/>
      <c r="F2" s="4"/>
      <c r="G2" s="4"/>
      <c r="H2" s="4"/>
      <c r="I2" s="5"/>
    </row>
    <row r="3" ht="27.75" customHeight="1">
      <c r="A3" s="1"/>
      <c r="B3" s="6" t="s">
        <v>313</v>
      </c>
    </row>
    <row r="4">
      <c r="A4" s="1"/>
      <c r="B4" s="1"/>
      <c r="C4" s="1"/>
      <c r="D4" s="1"/>
      <c r="E4" s="1"/>
      <c r="F4" s="1"/>
      <c r="G4" s="1"/>
      <c r="H4" s="1"/>
      <c r="I4" s="1"/>
    </row>
    <row r="5">
      <c r="A5" s="1"/>
      <c r="B5" s="1"/>
      <c r="C5" s="1"/>
      <c r="D5" s="1"/>
      <c r="E5" s="1"/>
      <c r="F5" s="1"/>
      <c r="G5" s="1"/>
      <c r="H5" s="1"/>
      <c r="I5" s="1"/>
    </row>
    <row r="6" ht="15.0" customHeight="1">
      <c r="A6" s="1"/>
      <c r="B6" s="7" t="s">
        <v>22</v>
      </c>
      <c r="C6" s="11" t="s">
        <v>317</v>
      </c>
      <c r="D6" s="11" t="s">
        <v>318</v>
      </c>
      <c r="E6" s="11" t="s">
        <v>319</v>
      </c>
      <c r="F6" s="11" t="s">
        <v>320</v>
      </c>
      <c r="G6" s="11" t="s">
        <v>321</v>
      </c>
      <c r="H6" s="11" t="s">
        <v>322</v>
      </c>
      <c r="I6" s="7" t="s">
        <v>323</v>
      </c>
    </row>
    <row r="7" ht="15.0" customHeight="1">
      <c r="A7" s="1"/>
      <c r="B7" s="55" t="s">
        <v>324</v>
      </c>
      <c r="C7" s="56"/>
      <c r="D7" s="56"/>
      <c r="E7" s="56"/>
      <c r="F7" s="56"/>
      <c r="G7" s="56"/>
      <c r="H7" s="56"/>
      <c r="I7" s="56"/>
    </row>
    <row r="8" ht="15.0" customHeight="1">
      <c r="A8" s="1"/>
      <c r="B8" s="16" t="s">
        <v>294</v>
      </c>
      <c r="C8" s="57">
        <f>DATOS!$K$83</f>
        <v>448.7</v>
      </c>
      <c r="D8" s="57">
        <f>C8*(1+DATOS!$K$84)</f>
        <v>502.544</v>
      </c>
      <c r="E8" s="57">
        <f>D8*(1+DATOS!$K$85)</f>
        <v>593.00192</v>
      </c>
      <c r="F8" s="57">
        <f>E8*(1+DATOS!$K$86)</f>
        <v>711.602304</v>
      </c>
      <c r="G8" s="57">
        <f>F8*(1+DATOS!$K$87)</f>
        <v>818.3426496</v>
      </c>
      <c r="H8" s="57">
        <f>G8*(1+DATOS!$K$88)</f>
        <v>916.5437676</v>
      </c>
      <c r="I8" s="22" t="s">
        <v>331</v>
      </c>
    </row>
    <row r="9" ht="15.0" customHeight="1">
      <c r="A9" s="1"/>
      <c r="B9" s="17" t="s">
        <v>332</v>
      </c>
      <c r="C9" s="18"/>
      <c r="D9" s="23">
        <f t="shared" ref="D9:H9" si="1">D8/C8-1</f>
        <v>0.12</v>
      </c>
      <c r="E9" s="23">
        <f t="shared" si="1"/>
        <v>0.18</v>
      </c>
      <c r="F9" s="23">
        <f t="shared" si="1"/>
        <v>0.2</v>
      </c>
      <c r="G9" s="23">
        <f t="shared" si="1"/>
        <v>0.15</v>
      </c>
      <c r="H9" s="23">
        <f t="shared" si="1"/>
        <v>0.12</v>
      </c>
      <c r="I9" s="22"/>
    </row>
    <row r="10" ht="15.0" customHeight="1">
      <c r="A10" s="1"/>
      <c r="B10" s="16" t="s">
        <v>338</v>
      </c>
      <c r="C10" s="18"/>
      <c r="D10" s="57">
        <f>D8*DATOS!$K$89</f>
        <v>55.27984</v>
      </c>
      <c r="E10" s="57">
        <f>E8*DATOS!$K$90</f>
        <v>71.1602304</v>
      </c>
      <c r="F10" s="57">
        <f>F8*DATOS!$K$91</f>
        <v>99.62432256</v>
      </c>
      <c r="G10" s="57">
        <f>G8*DATOS!$K$92</f>
        <v>122.7513974</v>
      </c>
      <c r="H10" s="57">
        <f>H8*DATOS!$K$93</f>
        <v>146.6470028</v>
      </c>
      <c r="I10" s="22" t="s">
        <v>343</v>
      </c>
    </row>
    <row r="11" ht="15.0" customHeight="1">
      <c r="A11" s="1"/>
      <c r="B11" s="17" t="s">
        <v>344</v>
      </c>
      <c r="C11" s="18"/>
      <c r="D11" s="23">
        <f>DATOS!$K$89</f>
        <v>0.11</v>
      </c>
      <c r="E11" s="23">
        <f>DATOS!$K$90</f>
        <v>0.12</v>
      </c>
      <c r="F11" s="23">
        <f>DATOS!$K$91</f>
        <v>0.14</v>
      </c>
      <c r="G11" s="23">
        <f>DATOS!$K$92</f>
        <v>0.15</v>
      </c>
      <c r="H11" s="23">
        <f>DATOS!$K$93</f>
        <v>0.16</v>
      </c>
      <c r="I11" s="22" t="s">
        <v>349</v>
      </c>
    </row>
    <row r="12" ht="18.75" customHeight="1">
      <c r="A12" s="1"/>
      <c r="B12" s="17" t="s">
        <v>350</v>
      </c>
      <c r="C12" s="18"/>
      <c r="D12" s="40">
        <f>C18*DATOS!$K$98</f>
        <v>74.74</v>
      </c>
      <c r="E12" s="40">
        <f>D18*DATOS!$K$98</f>
        <v>76.51538694</v>
      </c>
      <c r="F12" s="40">
        <f>E18*DATOS!$K$98</f>
        <v>78.26718125</v>
      </c>
      <c r="G12" s="40">
        <f>F18*DATOS!$K$98</f>
        <v>80.33054125</v>
      </c>
      <c r="H12" s="40">
        <f>G18*DATOS!$K$98</f>
        <v>82.83411784</v>
      </c>
      <c r="I12" s="22" t="s">
        <v>353</v>
      </c>
    </row>
    <row r="13" ht="15.0" customHeight="1">
      <c r="A13" s="1"/>
      <c r="B13" s="16" t="s">
        <v>161</v>
      </c>
      <c r="C13" s="18"/>
      <c r="D13" s="57">
        <f t="shared" ref="D13:H13" si="2">D10+D12</f>
        <v>130.01984</v>
      </c>
      <c r="E13" s="57">
        <f t="shared" si="2"/>
        <v>147.6756173</v>
      </c>
      <c r="F13" s="57">
        <f t="shared" si="2"/>
        <v>177.8915038</v>
      </c>
      <c r="G13" s="57">
        <f t="shared" si="2"/>
        <v>203.0819387</v>
      </c>
      <c r="H13" s="57">
        <f t="shared" si="2"/>
        <v>229.4811207</v>
      </c>
      <c r="I13" s="22"/>
    </row>
    <row r="14" ht="15.0" customHeight="1">
      <c r="A14" s="1"/>
      <c r="B14" s="17" t="s">
        <v>356</v>
      </c>
      <c r="C14" s="18"/>
      <c r="D14" s="40">
        <f>MAX(0,D13)*DATOS!K73</f>
        <v>27.3041664</v>
      </c>
      <c r="E14" s="40">
        <f>MAX(0,E13)*DATOS!K73</f>
        <v>31.01187964</v>
      </c>
      <c r="F14" s="40">
        <f>MAX(0,F13)*DATOS!K73</f>
        <v>37.3572158</v>
      </c>
      <c r="G14" s="40">
        <f>MAX(0,G13)*DATOS!K73</f>
        <v>42.64720713</v>
      </c>
      <c r="H14" s="40">
        <f>MAX(0,H13)*DATOS!K73</f>
        <v>48.19103534</v>
      </c>
      <c r="I14" s="22" t="s">
        <v>364</v>
      </c>
    </row>
    <row r="15" ht="15.0" customHeight="1">
      <c r="A15" s="1"/>
      <c r="B15" s="59" t="s">
        <v>165</v>
      </c>
      <c r="C15" s="18"/>
      <c r="D15" s="60">
        <f t="shared" ref="D15:H15" si="3">D13-D14</f>
        <v>102.7156736</v>
      </c>
      <c r="E15" s="60">
        <f t="shared" si="3"/>
        <v>116.6637377</v>
      </c>
      <c r="F15" s="60">
        <f t="shared" si="3"/>
        <v>140.534288</v>
      </c>
      <c r="G15" s="60">
        <f t="shared" si="3"/>
        <v>160.4347316</v>
      </c>
      <c r="H15" s="60">
        <f t="shared" si="3"/>
        <v>181.2900853</v>
      </c>
      <c r="I15" s="22"/>
    </row>
    <row r="16">
      <c r="A16" s="1"/>
      <c r="B16" s="1"/>
      <c r="C16" s="1"/>
      <c r="D16" s="1"/>
      <c r="E16" s="1"/>
      <c r="F16" s="1"/>
      <c r="G16" s="1"/>
      <c r="H16" s="1"/>
      <c r="I16" s="1"/>
    </row>
    <row r="17" ht="15.0" customHeight="1">
      <c r="A17" s="1"/>
      <c r="B17" s="55" t="s">
        <v>369</v>
      </c>
      <c r="C17" s="56"/>
      <c r="D17" s="56"/>
      <c r="E17" s="56"/>
      <c r="F17" s="56"/>
      <c r="G17" s="56"/>
      <c r="H17" s="56"/>
      <c r="I17" s="56"/>
    </row>
    <row r="18" ht="15.0" customHeight="1">
      <c r="A18" s="1"/>
      <c r="B18" s="17" t="s">
        <v>21</v>
      </c>
      <c r="C18" s="19">
        <f>DATOS!I37</f>
        <v>1868.5</v>
      </c>
      <c r="D18" s="40">
        <f t="shared" ref="D18:H18" si="4">D39</f>
        <v>1912.884674</v>
      </c>
      <c r="E18" s="40">
        <f t="shared" si="4"/>
        <v>1956.679531</v>
      </c>
      <c r="F18" s="40">
        <f t="shared" si="4"/>
        <v>2008.263531</v>
      </c>
      <c r="G18" s="40">
        <f t="shared" si="4"/>
        <v>2070.852946</v>
      </c>
      <c r="H18" s="40">
        <f t="shared" si="4"/>
        <v>2145.758487</v>
      </c>
      <c r="I18" s="22" t="s">
        <v>373</v>
      </c>
    </row>
    <row r="19" ht="15.0" customHeight="1">
      <c r="A19" s="1"/>
      <c r="B19" s="17" t="s">
        <v>36</v>
      </c>
      <c r="C19" s="19">
        <f>DATOS!I38</f>
        <v>25.6</v>
      </c>
      <c r="D19" s="40">
        <f>D8*(DATOS!I38/DATOS!$K$83)</f>
        <v>28.672</v>
      </c>
      <c r="E19" s="40">
        <f>E8*(DATOS!I38/DATOS!$K$83)</f>
        <v>33.83296</v>
      </c>
      <c r="F19" s="40">
        <f>F8*(DATOS!I38/DATOS!$K$83)</f>
        <v>40.599552</v>
      </c>
      <c r="G19" s="40">
        <f>G8*(DATOS!I38/DATOS!$K$83)</f>
        <v>46.6894848</v>
      </c>
      <c r="H19" s="40">
        <f>H8*(DATOS!I38/DATOS!$K$83)</f>
        <v>52.29222298</v>
      </c>
      <c r="I19" s="22" t="s">
        <v>383</v>
      </c>
    </row>
    <row r="20" ht="15.0" customHeight="1">
      <c r="A20" s="1"/>
      <c r="B20" s="17" t="s">
        <v>45</v>
      </c>
      <c r="C20" s="19">
        <f>DATOS!I39</f>
        <v>377.1</v>
      </c>
      <c r="D20" s="40">
        <f>D8*(DATOS!I39/DATOS!$K$83)</f>
        <v>422.352</v>
      </c>
      <c r="E20" s="40">
        <f>E8*(DATOS!I39/DATOS!$K$83)</f>
        <v>498.37536</v>
      </c>
      <c r="F20" s="40">
        <f>F8*(DATOS!I39/DATOS!$K$83)</f>
        <v>598.050432</v>
      </c>
      <c r="G20" s="40">
        <f>G8*(DATOS!I39/DATOS!$K$83)</f>
        <v>687.7579968</v>
      </c>
      <c r="H20" s="40">
        <f>H8*(DATOS!I39/DATOS!$K$83)</f>
        <v>770.2889564</v>
      </c>
      <c r="I20" s="22" t="s">
        <v>389</v>
      </c>
    </row>
    <row r="21" ht="15.0" customHeight="1">
      <c r="A21" s="1"/>
      <c r="B21" s="17" t="s">
        <v>83</v>
      </c>
      <c r="C21" s="19">
        <f>DATOS!I48*0+60</f>
        <v>60</v>
      </c>
      <c r="D21" s="40">
        <f>C21+D8*DATOS!$K$96-D8*DATOS!$K$95</f>
        <v>110.2544</v>
      </c>
      <c r="E21" s="40">
        <f>D21+E8*DATOS!$K$96-E8*DATOS!$K$95</f>
        <v>169.554592</v>
      </c>
      <c r="F21" s="40">
        <f>E21+F8*DATOS!$K$96-F8*DATOS!$K$95</f>
        <v>240.7148224</v>
      </c>
      <c r="G21" s="40">
        <f>F21+G8*DATOS!$K$96-G8*DATOS!$K$95</f>
        <v>322.5490874</v>
      </c>
      <c r="H21" s="40">
        <f>G21+H8*DATOS!$K$96-H8*DATOS!$K$95</f>
        <v>414.2034641</v>
      </c>
      <c r="I21" s="22" t="s">
        <v>392</v>
      </c>
    </row>
    <row r="22" ht="15.0" customHeight="1">
      <c r="A22" s="1"/>
      <c r="B22" s="17" t="s">
        <v>393</v>
      </c>
      <c r="C22" s="19">
        <f>DATOS!I48-DATOS!I37-DATOS!I38-DATOS!I39-60</f>
        <v>199.8</v>
      </c>
      <c r="D22" s="40">
        <f t="shared" ref="D22:H22" si="5">C22</f>
        <v>199.8</v>
      </c>
      <c r="E22" s="40">
        <f t="shared" si="5"/>
        <v>199.8</v>
      </c>
      <c r="F22" s="40">
        <f t="shared" si="5"/>
        <v>199.8</v>
      </c>
      <c r="G22" s="40">
        <f t="shared" si="5"/>
        <v>199.8</v>
      </c>
      <c r="H22" s="40">
        <f t="shared" si="5"/>
        <v>199.8</v>
      </c>
      <c r="I22" s="22" t="s">
        <v>394</v>
      </c>
    </row>
    <row r="23" ht="15.0" customHeight="1">
      <c r="A23" s="1"/>
      <c r="B23" s="16" t="s">
        <v>97</v>
      </c>
      <c r="C23" s="57">
        <f t="shared" ref="C23:H23" si="6">C18+C19+C20+C21+C22</f>
        <v>2531</v>
      </c>
      <c r="D23" s="57">
        <f t="shared" si="6"/>
        <v>2673.963074</v>
      </c>
      <c r="E23" s="57">
        <f t="shared" si="6"/>
        <v>2858.242443</v>
      </c>
      <c r="F23" s="57">
        <f t="shared" si="6"/>
        <v>3087.428338</v>
      </c>
      <c r="G23" s="57">
        <f t="shared" si="6"/>
        <v>3327.649515</v>
      </c>
      <c r="H23" s="57">
        <f t="shared" si="6"/>
        <v>3582.34313</v>
      </c>
      <c r="I23" s="22"/>
    </row>
    <row r="24" ht="15.0" customHeight="1">
      <c r="A24" s="1"/>
      <c r="B24" s="17" t="s">
        <v>395</v>
      </c>
      <c r="C24" s="19">
        <f>DATOS!I59-DATOS!I55</f>
        <v>508.1</v>
      </c>
      <c r="D24" s="40">
        <f>D8*((DATOS!I59-DATOS!I55)/DATOS!$K$83)</f>
        <v>569.072</v>
      </c>
      <c r="E24" s="40">
        <f>E8*((DATOS!I59-DATOS!I55)/DATOS!$K$83)</f>
        <v>671.50496</v>
      </c>
      <c r="F24" s="40">
        <f>F8*((DATOS!I59-DATOS!I55)/DATOS!$K$83)</f>
        <v>805.805952</v>
      </c>
      <c r="G24" s="40">
        <f>G8*((DATOS!I59-DATOS!I55)/DATOS!$K$83)</f>
        <v>926.6768448</v>
      </c>
      <c r="H24" s="40">
        <f>H8*((DATOS!I59-DATOS!I55)/DATOS!$K$83)</f>
        <v>1037.878066</v>
      </c>
      <c r="I24" s="22" t="s">
        <v>396</v>
      </c>
    </row>
    <row r="25" ht="15.0" customHeight="1">
      <c r="A25" s="1"/>
      <c r="B25" s="17" t="s">
        <v>397</v>
      </c>
      <c r="C25" s="19">
        <f>DATOS!I55</f>
        <v>1177.5</v>
      </c>
      <c r="D25" s="40">
        <f t="shared" ref="D25:H25" si="7">D23-D24-D27</f>
        <v>1156.7754</v>
      </c>
      <c r="E25" s="40">
        <f t="shared" si="7"/>
        <v>1121.958072</v>
      </c>
      <c r="F25" s="40">
        <f t="shared" si="7"/>
        <v>1076.308686</v>
      </c>
      <c r="G25" s="40">
        <f t="shared" si="7"/>
        <v>1035.224239</v>
      </c>
      <c r="H25" s="40">
        <f t="shared" si="7"/>
        <v>997.4265481</v>
      </c>
      <c r="I25" s="22" t="s">
        <v>398</v>
      </c>
    </row>
    <row r="26" ht="15.0" customHeight="1">
      <c r="A26" s="1"/>
      <c r="B26" s="16" t="s">
        <v>138</v>
      </c>
      <c r="C26" s="57">
        <f t="shared" ref="C26:H26" si="8">C24+C25</f>
        <v>1685.6</v>
      </c>
      <c r="D26" s="57">
        <f t="shared" si="8"/>
        <v>1725.8474</v>
      </c>
      <c r="E26" s="57">
        <f t="shared" si="8"/>
        <v>1793.463032</v>
      </c>
      <c r="F26" s="57">
        <f t="shared" si="8"/>
        <v>1882.114638</v>
      </c>
      <c r="G26" s="57">
        <f t="shared" si="8"/>
        <v>1961.901084</v>
      </c>
      <c r="H26" s="57">
        <f t="shared" si="8"/>
        <v>2035.304614</v>
      </c>
      <c r="I26" s="22"/>
    </row>
    <row r="27" ht="15.0" customHeight="1">
      <c r="A27" s="1"/>
      <c r="B27" s="16" t="s">
        <v>399</v>
      </c>
      <c r="C27" s="19">
        <f>DATOS!I60</f>
        <v>845.4</v>
      </c>
      <c r="D27" s="40">
        <f t="shared" ref="D27:H27" si="9">C27+D15</f>
        <v>948.1156736</v>
      </c>
      <c r="E27" s="40">
        <f t="shared" si="9"/>
        <v>1064.779411</v>
      </c>
      <c r="F27" s="40">
        <f t="shared" si="9"/>
        <v>1205.313699</v>
      </c>
      <c r="G27" s="40">
        <f t="shared" si="9"/>
        <v>1365.748431</v>
      </c>
      <c r="H27" s="40">
        <f t="shared" si="9"/>
        <v>1547.038516</v>
      </c>
      <c r="I27" s="22" t="s">
        <v>400</v>
      </c>
    </row>
    <row r="28" ht="15.0" customHeight="1">
      <c r="A28" s="1"/>
      <c r="B28" s="16" t="s">
        <v>401</v>
      </c>
      <c r="C28" s="57">
        <f t="shared" ref="C28:H28" si="10">C26+C27</f>
        <v>2531</v>
      </c>
      <c r="D28" s="57">
        <f t="shared" si="10"/>
        <v>2673.963074</v>
      </c>
      <c r="E28" s="57">
        <f t="shared" si="10"/>
        <v>2858.242443</v>
      </c>
      <c r="F28" s="57">
        <f t="shared" si="10"/>
        <v>3087.428338</v>
      </c>
      <c r="G28" s="57">
        <f t="shared" si="10"/>
        <v>3327.649515</v>
      </c>
      <c r="H28" s="57">
        <f t="shared" si="10"/>
        <v>3582.34313</v>
      </c>
      <c r="I28" s="22"/>
    </row>
    <row r="29" ht="15.0" customHeight="1">
      <c r="A29" s="1"/>
      <c r="B29" s="61" t="s">
        <v>402</v>
      </c>
      <c r="C29" s="62">
        <f t="shared" ref="C29:H29" si="11">C23-C28</f>
        <v>0</v>
      </c>
      <c r="D29" s="62">
        <f t="shared" si="11"/>
        <v>0</v>
      </c>
      <c r="E29" s="62">
        <f t="shared" si="11"/>
        <v>0</v>
      </c>
      <c r="F29" s="62">
        <f t="shared" si="11"/>
        <v>0</v>
      </c>
      <c r="G29" s="62">
        <f t="shared" si="11"/>
        <v>0</v>
      </c>
      <c r="H29" s="62">
        <f t="shared" si="11"/>
        <v>0</v>
      </c>
      <c r="I29" s="22" t="s">
        <v>403</v>
      </c>
    </row>
    <row r="30" ht="15.75" customHeight="1">
      <c r="A30" s="1"/>
      <c r="B30" s="1"/>
      <c r="C30" s="1"/>
      <c r="D30" s="1"/>
      <c r="E30" s="1"/>
      <c r="F30" s="1"/>
      <c r="G30" s="1"/>
      <c r="H30" s="1"/>
      <c r="I30" s="1"/>
    </row>
    <row r="31" ht="15.0" customHeight="1">
      <c r="A31" s="1"/>
      <c r="B31" s="55" t="s">
        <v>404</v>
      </c>
      <c r="C31" s="56"/>
      <c r="D31" s="56"/>
      <c r="E31" s="56"/>
      <c r="F31" s="56"/>
      <c r="G31" s="56"/>
      <c r="H31" s="56"/>
      <c r="I31" s="56"/>
    </row>
    <row r="32" ht="15.0" customHeight="1">
      <c r="A32" s="1"/>
      <c r="B32" s="17" t="s">
        <v>305</v>
      </c>
      <c r="C32" s="18"/>
      <c r="D32" s="40">
        <f t="shared" ref="D32:H32" si="12">D15</f>
        <v>102.7156736</v>
      </c>
      <c r="E32" s="40">
        <f t="shared" si="12"/>
        <v>116.6637377</v>
      </c>
      <c r="F32" s="40">
        <f t="shared" si="12"/>
        <v>140.534288</v>
      </c>
      <c r="G32" s="40">
        <f t="shared" si="12"/>
        <v>160.4347316</v>
      </c>
      <c r="H32" s="40">
        <f t="shared" si="12"/>
        <v>181.2900853</v>
      </c>
      <c r="I32" s="22" t="s">
        <v>405</v>
      </c>
    </row>
    <row r="33" ht="15.0" customHeight="1">
      <c r="A33" s="1"/>
      <c r="B33" s="17" t="s">
        <v>406</v>
      </c>
      <c r="C33" s="18"/>
      <c r="D33" s="40">
        <f>D8*DATOS!$K$95</f>
        <v>20.10176</v>
      </c>
      <c r="E33" s="40">
        <f>E8*DATOS!$K$95</f>
        <v>23.7200768</v>
      </c>
      <c r="F33" s="40">
        <f>F8*DATOS!$K$95</f>
        <v>28.46409216</v>
      </c>
      <c r="G33" s="40">
        <f>G8*DATOS!$K$95</f>
        <v>32.73370598</v>
      </c>
      <c r="H33" s="40">
        <f>H8*DATOS!$K$95</f>
        <v>36.6617507</v>
      </c>
      <c r="I33" s="22" t="s">
        <v>407</v>
      </c>
    </row>
    <row r="34" ht="15.0" customHeight="1">
      <c r="A34" s="1"/>
      <c r="B34" s="17" t="s">
        <v>408</v>
      </c>
      <c r="C34" s="18"/>
      <c r="D34" s="40">
        <f>-(D8-C8)*DATOS!$K$97</f>
        <v>-8.0766</v>
      </c>
      <c r="E34" s="40">
        <f>-(E8-D8)*DATOS!$K$97</f>
        <v>-13.568688</v>
      </c>
      <c r="F34" s="40">
        <f>-(F8-E8)*DATOS!$K$97</f>
        <v>-17.7900576</v>
      </c>
      <c r="G34" s="40">
        <f>-(G8-F8)*DATOS!$K$97</f>
        <v>-16.01105184</v>
      </c>
      <c r="H34" s="40">
        <f>-(H8-G8)*DATOS!$K$97</f>
        <v>-14.73016769</v>
      </c>
      <c r="I34" s="22" t="s">
        <v>409</v>
      </c>
    </row>
    <row r="35" ht="15.0" customHeight="1">
      <c r="A35" s="1"/>
      <c r="B35" s="16" t="s">
        <v>234</v>
      </c>
      <c r="C35" s="18"/>
      <c r="D35" s="57">
        <f t="shared" ref="D35:H35" si="13">D32+D33+D34</f>
        <v>114.7408336</v>
      </c>
      <c r="E35" s="57">
        <f t="shared" si="13"/>
        <v>126.8151265</v>
      </c>
      <c r="F35" s="57">
        <f t="shared" si="13"/>
        <v>151.2083226</v>
      </c>
      <c r="G35" s="57">
        <f t="shared" si="13"/>
        <v>177.1573857</v>
      </c>
      <c r="H35" s="57">
        <f t="shared" si="13"/>
        <v>203.2216683</v>
      </c>
      <c r="I35" s="22"/>
    </row>
    <row r="36" ht="15.0" customHeight="1">
      <c r="A36" s="1"/>
      <c r="B36" s="17" t="s">
        <v>410</v>
      </c>
      <c r="C36" s="18"/>
      <c r="D36" s="40">
        <f>-D8*DATOS!$K$96</f>
        <v>-70.35616</v>
      </c>
      <c r="E36" s="40">
        <f>-E8*DATOS!$K$96</f>
        <v>-83.0202688</v>
      </c>
      <c r="F36" s="40">
        <f>-F8*DATOS!$K$96</f>
        <v>-99.62432256</v>
      </c>
      <c r="G36" s="40">
        <f>-G8*DATOS!$K$96</f>
        <v>-114.5679709</v>
      </c>
      <c r="H36" s="40">
        <f>-H8*DATOS!$K$96</f>
        <v>-128.3161275</v>
      </c>
      <c r="I36" s="22" t="s">
        <v>411</v>
      </c>
    </row>
    <row r="37" ht="15.0" customHeight="1">
      <c r="A37" s="1"/>
      <c r="B37" s="59" t="s">
        <v>412</v>
      </c>
      <c r="C37" s="18"/>
      <c r="D37" s="60">
        <f t="shared" ref="D37:H37" si="14">D35+D36</f>
        <v>44.3846736</v>
      </c>
      <c r="E37" s="60">
        <f t="shared" si="14"/>
        <v>43.7948577</v>
      </c>
      <c r="F37" s="60">
        <f t="shared" si="14"/>
        <v>51.58400001</v>
      </c>
      <c r="G37" s="60">
        <f t="shared" si="14"/>
        <v>62.58941477</v>
      </c>
      <c r="H37" s="60">
        <f t="shared" si="14"/>
        <v>74.90554087</v>
      </c>
      <c r="I37" s="22" t="s">
        <v>413</v>
      </c>
    </row>
    <row r="38" ht="15.0" customHeight="1">
      <c r="A38" s="1"/>
      <c r="B38" s="17" t="s">
        <v>414</v>
      </c>
      <c r="C38" s="18"/>
      <c r="D38" s="40">
        <f>DATOS!I37</f>
        <v>1868.5</v>
      </c>
      <c r="E38" s="40">
        <f t="shared" ref="E38:H38" si="15">D39</f>
        <v>1912.884674</v>
      </c>
      <c r="F38" s="40">
        <f t="shared" si="15"/>
        <v>1956.679531</v>
      </c>
      <c r="G38" s="40">
        <f t="shared" si="15"/>
        <v>2008.263531</v>
      </c>
      <c r="H38" s="40">
        <f t="shared" si="15"/>
        <v>2070.852946</v>
      </c>
      <c r="I38" s="22"/>
    </row>
    <row r="39" ht="15.0" customHeight="1">
      <c r="A39" s="1"/>
      <c r="B39" s="59" t="s">
        <v>415</v>
      </c>
      <c r="C39" s="18"/>
      <c r="D39" s="60">
        <f t="shared" ref="D39:H39" si="16">D38+D37</f>
        <v>1912.884674</v>
      </c>
      <c r="E39" s="60">
        <f t="shared" si="16"/>
        <v>1956.679531</v>
      </c>
      <c r="F39" s="60">
        <f t="shared" si="16"/>
        <v>2008.263531</v>
      </c>
      <c r="G39" s="60">
        <f t="shared" si="16"/>
        <v>2070.852946</v>
      </c>
      <c r="H39" s="60">
        <f t="shared" si="16"/>
        <v>2145.758487</v>
      </c>
      <c r="I39" s="22" t="s">
        <v>416</v>
      </c>
    </row>
    <row r="40" ht="15.75" customHeight="1">
      <c r="A40" s="1"/>
      <c r="B40" s="1"/>
      <c r="C40" s="1"/>
      <c r="D40" s="1"/>
      <c r="E40" s="1"/>
      <c r="F40" s="1"/>
      <c r="G40" s="1"/>
      <c r="H40" s="1"/>
      <c r="I40" s="1"/>
    </row>
    <row r="41" ht="57.75" customHeight="1">
      <c r="A41" s="1"/>
      <c r="B41" s="63" t="s">
        <v>417</v>
      </c>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I2"/>
    <mergeCell ref="B3:I3"/>
    <mergeCell ref="B41:I4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8.0"/>
    <col customWidth="1" min="3" max="4" width="15.0"/>
    <col customWidth="1" min="5" max="5" width="48.0"/>
    <col customWidth="1" min="6" max="26" width="8.71"/>
  </cols>
  <sheetData>
    <row r="1">
      <c r="A1" s="1"/>
      <c r="B1" s="1"/>
      <c r="C1" s="1"/>
      <c r="D1" s="1"/>
      <c r="E1" s="1"/>
    </row>
    <row r="2" ht="24.0" customHeight="1">
      <c r="A2" s="1"/>
      <c r="B2" s="3" t="s">
        <v>418</v>
      </c>
      <c r="C2" s="4"/>
      <c r="D2" s="4"/>
      <c r="E2" s="5"/>
    </row>
    <row r="3" ht="15.0" customHeight="1">
      <c r="A3" s="1"/>
      <c r="B3" s="6" t="s">
        <v>419</v>
      </c>
    </row>
    <row r="4">
      <c r="A4" s="1"/>
      <c r="B4" s="1"/>
      <c r="C4" s="1"/>
      <c r="D4" s="1"/>
      <c r="E4" s="1"/>
    </row>
    <row r="5" ht="15.0" customHeight="1">
      <c r="A5" s="1"/>
      <c r="B5" s="55" t="s">
        <v>420</v>
      </c>
      <c r="C5" s="56"/>
      <c r="D5" s="56"/>
      <c r="E5" s="56"/>
    </row>
    <row r="6" ht="15.0" customHeight="1">
      <c r="A6" s="1"/>
      <c r="B6" s="17" t="s">
        <v>421</v>
      </c>
      <c r="C6" s="64">
        <f>DATOS!K70</f>
        <v>0.043</v>
      </c>
      <c r="D6" s="18"/>
      <c r="E6" s="22" t="s">
        <v>422</v>
      </c>
    </row>
    <row r="7" ht="15.0" customHeight="1">
      <c r="A7" s="1"/>
      <c r="B7" s="17" t="s">
        <v>248</v>
      </c>
      <c r="C7" s="64">
        <f>DATOS!K71</f>
        <v>0.055</v>
      </c>
      <c r="D7" s="18"/>
      <c r="E7" s="22" t="s">
        <v>423</v>
      </c>
    </row>
    <row r="8" ht="15.0" customHeight="1">
      <c r="A8" s="1"/>
      <c r="B8" s="17" t="s">
        <v>424</v>
      </c>
      <c r="C8" s="65">
        <f>DATOS!K72</f>
        <v>0.85</v>
      </c>
      <c r="D8" s="18"/>
      <c r="E8" s="22" t="s">
        <v>425</v>
      </c>
    </row>
    <row r="9" ht="15.0" customHeight="1">
      <c r="A9" s="1"/>
      <c r="B9" s="17" t="s">
        <v>426</v>
      </c>
      <c r="C9" s="40">
        <f>DATOS!K66*DATOS!K67</f>
        <v>3318.483</v>
      </c>
      <c r="D9" s="18"/>
      <c r="E9" s="22" t="s">
        <v>427</v>
      </c>
    </row>
    <row r="10" ht="15.0" customHeight="1">
      <c r="A10" s="1"/>
      <c r="B10" s="17" t="s">
        <v>428</v>
      </c>
      <c r="C10" s="19">
        <f>DATOS!I55</f>
        <v>1177.5</v>
      </c>
      <c r="D10" s="18"/>
      <c r="E10" s="22" t="s">
        <v>429</v>
      </c>
    </row>
    <row r="11" ht="15.0" customHeight="1">
      <c r="A11" s="1"/>
      <c r="B11" s="17" t="s">
        <v>430</v>
      </c>
      <c r="C11" s="23">
        <f>C10/(C10+C9)</f>
        <v>0.2619004565</v>
      </c>
      <c r="D11" s="18"/>
      <c r="E11" s="22" t="s">
        <v>431</v>
      </c>
    </row>
    <row r="12" ht="15.0" customHeight="1">
      <c r="A12" s="1"/>
      <c r="B12" s="17" t="s">
        <v>432</v>
      </c>
      <c r="C12" s="23">
        <f>C9/(C10+C9)</f>
        <v>0.7380995435</v>
      </c>
      <c r="D12" s="18"/>
      <c r="E12" s="22"/>
    </row>
    <row r="13" ht="15.0" customHeight="1">
      <c r="A13" s="1"/>
      <c r="B13" s="17" t="s">
        <v>433</v>
      </c>
      <c r="C13" s="23">
        <f>DATOS!K73</f>
        <v>0.21</v>
      </c>
      <c r="D13" s="18"/>
      <c r="E13" s="22" t="s">
        <v>434</v>
      </c>
    </row>
    <row r="14" ht="15.0" customHeight="1">
      <c r="A14" s="1"/>
      <c r="B14" s="17" t="s">
        <v>435</v>
      </c>
      <c r="C14" s="65">
        <f>C8*(1+(1-C13)*C10/C9)</f>
        <v>1.088268887</v>
      </c>
      <c r="D14" s="18"/>
      <c r="E14" s="22" t="s">
        <v>436</v>
      </c>
    </row>
    <row r="15" ht="15.0" customHeight="1">
      <c r="A15" s="1"/>
      <c r="B15" s="17" t="s">
        <v>437</v>
      </c>
      <c r="C15" s="66">
        <f>C6+C14*C7</f>
        <v>0.1028547888</v>
      </c>
      <c r="D15" s="18"/>
      <c r="E15" s="22" t="s">
        <v>438</v>
      </c>
    </row>
    <row r="16" ht="15.0" customHeight="1">
      <c r="A16" s="1"/>
      <c r="B16" s="17" t="s">
        <v>254</v>
      </c>
      <c r="C16" s="64">
        <f>DATOS!K74</f>
        <v>0.045</v>
      </c>
      <c r="D16" s="18"/>
      <c r="E16" s="22" t="s">
        <v>434</v>
      </c>
    </row>
    <row r="17" ht="15.0" customHeight="1">
      <c r="A17" s="1"/>
      <c r="B17" s="17" t="s">
        <v>439</v>
      </c>
      <c r="C17" s="64">
        <f>C16*(1-C13)</f>
        <v>0.03555</v>
      </c>
      <c r="D17" s="18"/>
      <c r="E17" s="22" t="s">
        <v>440</v>
      </c>
    </row>
    <row r="18" ht="15.0" customHeight="1">
      <c r="A18" s="1"/>
      <c r="B18" s="16" t="s">
        <v>441</v>
      </c>
      <c r="C18" s="67">
        <f>C12*C15+C11*C17</f>
        <v>0.08522763387</v>
      </c>
      <c r="D18" s="18"/>
      <c r="E18" s="22" t="s">
        <v>442</v>
      </c>
    </row>
    <row r="19">
      <c r="A19" s="1"/>
      <c r="B19" s="1"/>
      <c r="C19" s="1"/>
      <c r="D19" s="1"/>
      <c r="E19" s="1"/>
    </row>
    <row r="20" ht="23.25" customHeight="1">
      <c r="A20" s="1"/>
      <c r="B20" s="55" t="s">
        <v>443</v>
      </c>
      <c r="C20" s="56"/>
      <c r="D20" s="56"/>
      <c r="E20" s="56"/>
    </row>
    <row r="21" ht="15.0" customHeight="1">
      <c r="A21" s="1"/>
      <c r="B21" s="6" t="s">
        <v>444</v>
      </c>
    </row>
    <row r="22" ht="15.0" customHeight="1">
      <c r="A22" s="1"/>
      <c r="B22" s="16" t="s">
        <v>445</v>
      </c>
      <c r="C22" s="40">
        <f>(DATOS!E38+DATOS!E39+DATOS!E40+DATOS!E41)-(DATOS!E49+DATOS!E51+DATOS!E52)</f>
        <v>41</v>
      </c>
      <c r="D22" s="18"/>
      <c r="E22" s="22" t="s">
        <v>446</v>
      </c>
    </row>
    <row r="23" ht="15.0" customHeight="1">
      <c r="A23" s="1"/>
      <c r="B23" s="17" t="s">
        <v>447</v>
      </c>
      <c r="C23" s="19">
        <f>DATOS!E43+DATOS!E45</f>
        <v>50.7</v>
      </c>
      <c r="D23" s="18"/>
      <c r="E23" s="22" t="s">
        <v>448</v>
      </c>
    </row>
    <row r="24" ht="15.0" customHeight="1">
      <c r="A24" s="1"/>
      <c r="B24" s="16" t="s">
        <v>449</v>
      </c>
      <c r="C24" s="60">
        <f>C22+C23</f>
        <v>91.7</v>
      </c>
      <c r="D24" s="18"/>
      <c r="E24" s="22" t="s">
        <v>450</v>
      </c>
    </row>
    <row r="25" ht="15.0" customHeight="1">
      <c r="A25" s="1"/>
      <c r="B25" s="16" t="s">
        <v>451</v>
      </c>
      <c r="C25" s="40">
        <f>DATOS!E21*(1-C13)</f>
        <v>39.658</v>
      </c>
      <c r="D25" s="18"/>
      <c r="E25" s="22" t="s">
        <v>452</v>
      </c>
    </row>
    <row r="26" ht="15.0" customHeight="1">
      <c r="A26" s="1"/>
      <c r="B26" s="16" t="s">
        <v>453</v>
      </c>
      <c r="C26" s="68">
        <f>C25/C24</f>
        <v>0.4324754635</v>
      </c>
      <c r="D26" s="18"/>
      <c r="E26" s="69" t="s">
        <v>454</v>
      </c>
    </row>
    <row r="27" ht="15.0" customHeight="1">
      <c r="A27" s="1"/>
      <c r="B27" s="16" t="s">
        <v>455</v>
      </c>
      <c r="C27" s="70">
        <f>C26-C18</f>
        <v>0.3472478296</v>
      </c>
      <c r="D27" s="18"/>
      <c r="E27" s="22" t="s">
        <v>456</v>
      </c>
    </row>
    <row r="28" ht="15.0" customHeight="1">
      <c r="A28" s="1"/>
      <c r="B28" s="17" t="s">
        <v>457</v>
      </c>
      <c r="C28" s="71">
        <v>0.6</v>
      </c>
      <c r="D28" s="18"/>
      <c r="E28" s="22" t="s">
        <v>458</v>
      </c>
    </row>
    <row r="29" ht="15.0" customHeight="1">
      <c r="A29" s="1"/>
      <c r="B29" s="16" t="s">
        <v>459</v>
      </c>
      <c r="C29" s="72">
        <f>C26*C28</f>
        <v>0.2594852781</v>
      </c>
      <c r="D29" s="18"/>
      <c r="E29" s="22" t="s">
        <v>460</v>
      </c>
    </row>
    <row r="30" ht="15.75" customHeight="1">
      <c r="A30" s="1"/>
      <c r="B30" s="1"/>
      <c r="C30" s="1"/>
      <c r="D30" s="1"/>
      <c r="E30" s="1"/>
    </row>
    <row r="31" ht="15.0" customHeight="1">
      <c r="A31" s="1"/>
      <c r="B31" s="55" t="s">
        <v>461</v>
      </c>
      <c r="C31" s="56"/>
      <c r="D31" s="56"/>
      <c r="E31" s="56"/>
    </row>
    <row r="32" ht="15.0" customHeight="1">
      <c r="A32" s="1"/>
      <c r="B32" s="6" t="s">
        <v>462</v>
      </c>
    </row>
    <row r="33" ht="15.0" customHeight="1">
      <c r="A33" s="1"/>
      <c r="B33" s="73" t="s">
        <v>463</v>
      </c>
      <c r="C33" s="74" t="s">
        <v>464</v>
      </c>
      <c r="D33" s="73" t="s">
        <v>465</v>
      </c>
      <c r="E33" s="75" t="s">
        <v>466</v>
      </c>
    </row>
    <row r="34" ht="15.0" customHeight="1">
      <c r="A34" s="1"/>
      <c r="B34" s="76">
        <v>1.0</v>
      </c>
      <c r="C34" s="19">
        <f>Proyecciones!D37</f>
        <v>44.3846736</v>
      </c>
      <c r="D34" s="40">
        <f>C34/(1+C18)^1</f>
        <v>40.89895264</v>
      </c>
      <c r="E34" s="22"/>
    </row>
    <row r="35" ht="15.0" customHeight="1">
      <c r="A35" s="1"/>
      <c r="B35" s="76">
        <v>2.0</v>
      </c>
      <c r="C35" s="19">
        <f>Proyecciones!E37</f>
        <v>43.7948577</v>
      </c>
      <c r="D35" s="40">
        <f>C35/(1+C18)^2</f>
        <v>37.1861684</v>
      </c>
      <c r="E35" s="18"/>
    </row>
    <row r="36" ht="15.0" customHeight="1">
      <c r="A36" s="1"/>
      <c r="B36" s="76">
        <v>3.0</v>
      </c>
      <c r="C36" s="19">
        <f>Proyecciones!F37</f>
        <v>51.58400001</v>
      </c>
      <c r="D36" s="40">
        <f>C36/(1+C18)^3</f>
        <v>40.36012327</v>
      </c>
      <c r="E36" s="18"/>
    </row>
    <row r="37" ht="15.0" customHeight="1">
      <c r="A37" s="1"/>
      <c r="B37" s="76">
        <v>4.0</v>
      </c>
      <c r="C37" s="19">
        <f>Proyecciones!G37</f>
        <v>62.58941477</v>
      </c>
      <c r="D37" s="40">
        <f>C37/(1+C18)^4</f>
        <v>45.12503117</v>
      </c>
      <c r="E37" s="18"/>
    </row>
    <row r="38" ht="15.0" customHeight="1">
      <c r="A38" s="1"/>
      <c r="B38" s="76">
        <v>5.0</v>
      </c>
      <c r="C38" s="19">
        <f>Proyecciones!H37</f>
        <v>74.90554087</v>
      </c>
      <c r="D38" s="40">
        <f>C38/(1+C18)^5</f>
        <v>49.76336326</v>
      </c>
      <c r="E38" s="18"/>
    </row>
    <row r="39" ht="15.0" customHeight="1">
      <c r="A39" s="1"/>
      <c r="B39" s="17" t="s">
        <v>467</v>
      </c>
      <c r="C39" s="40">
        <f>Proyecciones!H8*DATOS!K94*(1-DATOS!K73)</f>
        <v>115.8511322</v>
      </c>
      <c r="D39" s="77"/>
      <c r="E39" s="22" t="s">
        <v>468</v>
      </c>
    </row>
    <row r="40" ht="15.0" customHeight="1">
      <c r="A40" s="1"/>
      <c r="B40" s="17" t="s">
        <v>469</v>
      </c>
      <c r="C40" s="40">
        <f>C39*(1.03)/(C18-0.03)</f>
        <v>2160.633325</v>
      </c>
      <c r="D40" s="40">
        <f>C40/(1+C18)^5</f>
        <v>1435.412918</v>
      </c>
      <c r="E40" s="22" t="s">
        <v>470</v>
      </c>
    </row>
    <row r="41" ht="15.0" customHeight="1">
      <c r="A41" s="1"/>
      <c r="B41" s="16" t="s">
        <v>471</v>
      </c>
      <c r="C41" s="57">
        <f>SUM(D34:D38)+D40</f>
        <v>1648.746557</v>
      </c>
      <c r="D41" s="77"/>
      <c r="E41" s="1"/>
    </row>
    <row r="42" ht="15.0" customHeight="1">
      <c r="A42" s="1"/>
      <c r="B42" s="17" t="s">
        <v>472</v>
      </c>
      <c r="C42" s="19">
        <f>DATOS!I37-DATOS!I55</f>
        <v>691</v>
      </c>
      <c r="D42" s="77"/>
      <c r="E42" s="22" t="s">
        <v>473</v>
      </c>
    </row>
    <row r="43" ht="15.0" customHeight="1">
      <c r="A43" s="1"/>
      <c r="B43" s="16" t="s">
        <v>474</v>
      </c>
      <c r="C43" s="57">
        <f>C41+C42</f>
        <v>2339.746557</v>
      </c>
      <c r="D43" s="1"/>
      <c r="E43" s="6"/>
    </row>
    <row r="44" ht="15.0" customHeight="1">
      <c r="A44" s="1"/>
      <c r="B44" s="16" t="s">
        <v>475</v>
      </c>
      <c r="C44" s="78">
        <f>C43/DATOS!K67</f>
        <v>117.2805292</v>
      </c>
      <c r="D44" s="1"/>
      <c r="E44" s="6"/>
    </row>
    <row r="45" ht="15.0" customHeight="1">
      <c r="A45" s="1"/>
      <c r="B45" s="17" t="s">
        <v>476</v>
      </c>
      <c r="C45" s="20">
        <f>DATOS!K66</f>
        <v>166.34</v>
      </c>
      <c r="D45" s="1"/>
      <c r="E45" s="1"/>
    </row>
    <row r="46" ht="15.0" customHeight="1">
      <c r="A46" s="1"/>
      <c r="B46" s="16" t="s">
        <v>477</v>
      </c>
      <c r="C46" s="79">
        <f>C44/DATOS!K66-1</f>
        <v>-0.2949348974</v>
      </c>
      <c r="D46" s="1"/>
      <c r="E46" s="22" t="s">
        <v>478</v>
      </c>
    </row>
    <row r="47" ht="15.0" customHeight="1">
      <c r="A47" s="1"/>
      <c r="B47" s="80"/>
      <c r="C47" s="81"/>
      <c r="D47" s="1"/>
      <c r="E47" s="1"/>
    </row>
    <row r="48" ht="15.0" customHeight="1">
      <c r="A48" s="1"/>
      <c r="B48" s="82"/>
      <c r="C48" s="83"/>
      <c r="D48" s="1"/>
      <c r="E48" s="6"/>
    </row>
    <row r="49" ht="15.0" customHeight="1">
      <c r="A49" s="1"/>
      <c r="B49" s="1"/>
      <c r="C49" s="1"/>
      <c r="D49" s="1"/>
      <c r="E49" s="1"/>
    </row>
    <row r="50" ht="60.0" customHeight="1">
      <c r="A50" s="1"/>
      <c r="B50" s="45"/>
      <c r="C50" s="1"/>
      <c r="D50" s="1"/>
      <c r="E50" s="1"/>
    </row>
    <row r="51" ht="15.0" customHeight="1">
      <c r="A51" s="1"/>
      <c r="B51" s="1"/>
      <c r="C51" s="1"/>
      <c r="D51" s="1"/>
      <c r="E51" s="1"/>
    </row>
    <row r="52" ht="15.0" customHeight="1">
      <c r="A52" s="1"/>
      <c r="B52" s="1"/>
      <c r="C52" s="1"/>
      <c r="D52" s="1"/>
      <c r="E52" s="1"/>
    </row>
    <row r="53" ht="15.0" customHeight="1">
      <c r="A53" s="1"/>
      <c r="B53" s="1"/>
      <c r="C53" s="1"/>
      <c r="D53" s="1"/>
      <c r="E53" s="1"/>
    </row>
    <row r="54" ht="15.0" customHeight="1">
      <c r="A54" s="1"/>
      <c r="B54" s="1"/>
      <c r="C54" s="1"/>
      <c r="D54" s="1"/>
      <c r="E54" s="1"/>
    </row>
    <row r="55" ht="15.0" customHeight="1">
      <c r="A55" s="1"/>
      <c r="B55" s="1"/>
      <c r="C55" s="1"/>
      <c r="D55" s="1"/>
      <c r="E55" s="1"/>
    </row>
    <row r="56" ht="15.0" customHeight="1">
      <c r="A56" s="1"/>
      <c r="B56" s="1"/>
      <c r="C56" s="1"/>
      <c r="D56" s="1"/>
      <c r="E56" s="1"/>
    </row>
    <row r="57" ht="15.0" customHeight="1">
      <c r="A57" s="1"/>
      <c r="B57" s="1"/>
      <c r="C57" s="1"/>
      <c r="D57" s="1"/>
      <c r="E57" s="1"/>
    </row>
    <row r="58" ht="15.0" customHeight="1">
      <c r="A58" s="1"/>
      <c r="B58" s="1"/>
      <c r="C58" s="1"/>
      <c r="D58" s="1"/>
      <c r="E58" s="1"/>
    </row>
    <row r="59" ht="15.0" customHeight="1">
      <c r="A59" s="1"/>
      <c r="B59" s="1"/>
      <c r="C59" s="1"/>
      <c r="D59" s="1"/>
      <c r="E59" s="1"/>
    </row>
    <row r="60" ht="15.0"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4">
    <mergeCell ref="B2:E2"/>
    <mergeCell ref="B3:E3"/>
    <mergeCell ref="B21:E21"/>
    <mergeCell ref="B32:E3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4.0"/>
    <col customWidth="1" min="3" max="7" width="12.0"/>
    <col customWidth="1" min="8" max="26" width="8.71"/>
  </cols>
  <sheetData>
    <row r="1">
      <c r="A1" s="1"/>
      <c r="B1" s="1"/>
      <c r="C1" s="1"/>
      <c r="D1" s="1"/>
      <c r="E1" s="1"/>
      <c r="F1" s="1"/>
      <c r="G1" s="1"/>
    </row>
    <row r="2" ht="24.0" customHeight="1">
      <c r="A2" s="1"/>
      <c r="B2" s="54" t="s">
        <v>479</v>
      </c>
      <c r="C2" s="4"/>
      <c r="D2" s="4"/>
      <c r="E2" s="4"/>
      <c r="F2" s="4"/>
      <c r="G2" s="5"/>
    </row>
    <row r="3" ht="25.5" customHeight="1">
      <c r="A3" s="1"/>
      <c r="B3" s="6" t="s">
        <v>480</v>
      </c>
    </row>
    <row r="4">
      <c r="A4" s="1"/>
      <c r="B4" s="1"/>
      <c r="C4" s="1"/>
      <c r="D4" s="1"/>
      <c r="E4" s="1"/>
      <c r="F4" s="1"/>
      <c r="G4" s="1"/>
    </row>
    <row r="5" ht="15.0" customHeight="1">
      <c r="A5" s="1"/>
      <c r="B5" s="11" t="s">
        <v>481</v>
      </c>
      <c r="C5" s="84">
        <v>0.02</v>
      </c>
      <c r="D5" s="84">
        <v>0.025</v>
      </c>
      <c r="E5" s="84">
        <v>0.03</v>
      </c>
      <c r="F5" s="84">
        <v>0.035</v>
      </c>
      <c r="G5" s="84">
        <v>0.04</v>
      </c>
    </row>
    <row r="6" ht="15.0" customHeight="1">
      <c r="A6" s="1"/>
      <c r="B6" s="85">
        <v>0.065</v>
      </c>
      <c r="C6" s="86">
        <f>((Proyecciones!D37/(1+$B6)^1+Proyecciones!E37/(1+$B6)^2+Proyecciones!F37/(1+$B6)^3+Proyecciones!G37/(1+$B6)^4+Proyecciones!H37/(1+$B6)^5+(Proyecciones!H8*DATOS!K94*(1-DATOS!K73)*(1+C$5)/($B6-C$5))/(1+$B6)^5)+(DATOS!I37-DATOS!I55))/DATOS!K67</f>
        <v>142.0527883</v>
      </c>
      <c r="D6" s="86">
        <f>((Proyecciones!D37/(1+$B6)^1+Proyecciones!E37/(1+$B6)^2+Proyecciones!F37/(1+$B6)^3+Proyecciones!G37/(1+$B6)^4+Proyecciones!H37/(1+$B6)^5+(Proyecciones!H8*DATOS!K94*(1-DATOS!K73)*(1+D$5)/($B6-D$5))/(1+$B6)^5)+(DATOS!I37-DATOS!I55))/DATOS!K67</f>
        <v>154.591602</v>
      </c>
      <c r="E6" s="86">
        <f>((Proyecciones!D37/(1+$B6)^1+Proyecciones!E37/(1+$B6)^2+Proyecciones!F37/(1+$B6)^3+Proyecciones!G37/(1+$B6)^4+Proyecciones!H37/(1+$B6)^5+(Proyecciones!H8*DATOS!K94*(1-DATOS!K73)*(1+E$5)/($B6-E$5))/(1+$B6)^5)+(DATOS!I37-DATOS!I55))/DATOS!K67</f>
        <v>170.7129339</v>
      </c>
      <c r="F6" s="86">
        <f>((Proyecciones!D37/(1+$B6)^1+Proyecciones!E37/(1+$B6)^2+Proyecciones!F37/(1+$B6)^3+Proyecciones!G37/(1+$B6)^4+Proyecciones!H37/(1+$B6)^5+(Proyecciones!H8*DATOS!K94*(1-DATOS!K73)*(1+F$5)/($B6-F$5))/(1+$B6)^5)+(DATOS!I37-DATOS!I55))/DATOS!K67</f>
        <v>192.2080432</v>
      </c>
      <c r="G6" s="86">
        <f>((Proyecciones!D37/(1+$B6)^1+Proyecciones!E37/(1+$B6)^2+Proyecciones!F37/(1+$B6)^3+Proyecciones!G37/(1+$B6)^4+Proyecciones!H37/(1+$B6)^5+(Proyecciones!H8*DATOS!K94*(1-DATOS!K73)*(1+G$5)/($B6-G$5))/(1+$B6)^5)+(DATOS!I37-DATOS!I55))/DATOS!K67</f>
        <v>222.3011961</v>
      </c>
    </row>
    <row r="7" ht="15.0" customHeight="1">
      <c r="A7" s="1"/>
      <c r="B7" s="85">
        <v>0.075</v>
      </c>
      <c r="C7" s="86">
        <f>((Proyecciones!D37/(1+$B7)^1+Proyecciones!E37/(1+$B7)^2+Proyecciones!F37/(1+$B7)^3+Proyecciones!G37/(1+$B7)^4+Proyecciones!H37/(1+$B7)^5+(Proyecciones!H8*DATOS!K94*(1-DATOS!K73)*(1+C$5)/($B7-C$5))/(1+$B7)^5)+(DATOS!I37-DATOS!I55))/DATOS!K67</f>
        <v>120.6674625</v>
      </c>
      <c r="D7" s="86">
        <f>((Proyecciones!D37/(1+$B7)^1+Proyecciones!E37/(1+$B7)^2+Proyecciones!F37/(1+$B7)^3+Proyecciones!G37/(1+$B7)^4+Proyecciones!H37/(1+$B7)^5+(Proyecciones!H8*DATOS!K94*(1-DATOS!K73)*(1+D$5)/($B7-D$5))/(1+$B7)^5)+(DATOS!I37-DATOS!I55))/DATOS!K67</f>
        <v>128.5735358</v>
      </c>
      <c r="E7" s="86">
        <f>((Proyecciones!D37/(1+$B7)^1+Proyecciones!E37/(1+$B7)^2+Proyecciones!F37/(1+$B7)^3+Proyecciones!G37/(1+$B7)^4+Proyecciones!H37/(1+$B7)^5+(Proyecciones!H8*DATOS!K94*(1-DATOS!K73)*(1+E$5)/($B7-E$5))/(1+$B7)^5)+(DATOS!I37-DATOS!I55))/DATOS!K67</f>
        <v>138.2365142</v>
      </c>
      <c r="F7" s="86">
        <f>((Proyecciones!D37/(1+$B7)^1+Proyecciones!E37/(1+$B7)^2+Proyecciones!F37/(1+$B7)^3+Proyecciones!G37/(1+$B7)^4+Proyecciones!H37/(1+$B7)^5+(Proyecciones!H8*DATOS!K94*(1-DATOS!K73)*(1+F$5)/($B7-F$5))/(1+$B7)^5)+(DATOS!I37-DATOS!I55))/DATOS!K67</f>
        <v>150.3152373</v>
      </c>
      <c r="G7" s="86">
        <f>((Proyecciones!D37/(1+$B7)^1+Proyecciones!E37/(1+$B7)^2+Proyecciones!F37/(1+$B7)^3+Proyecciones!G37/(1+$B7)^4+Proyecciones!H37/(1+$B7)^5+(Proyecciones!H8*DATOS!K94*(1-DATOS!K73)*(1+G$5)/($B7-G$5))/(1+$B7)^5)+(DATOS!I37-DATOS!I55))/DATOS!K67</f>
        <v>165.8450241</v>
      </c>
    </row>
    <row r="8" ht="15.0" customHeight="1">
      <c r="A8" s="1"/>
      <c r="B8" s="85">
        <v>0.085</v>
      </c>
      <c r="C8" s="86">
        <f>((Proyecciones!D37/(1+$B8)^1+Proyecciones!E37/(1+$B8)^2+Proyecciones!F37/(1+$B8)^3+Proyecciones!G37/(1+$B8)^4+Proyecciones!H37/(1+$B8)^5+(Proyecciones!H8*DATOS!K94*(1-DATOS!K73)*(1+C$5)/($B8-C$5))/(1+$B8)^5)+(DATOS!I37-DATOS!I55))/DATOS!K67</f>
        <v>105.9402024</v>
      </c>
      <c r="D8" s="86">
        <f>((Proyecciones!D37/(1+$B8)^1+Proyecciones!E37/(1+$B8)^2+Proyecciones!F37/(1+$B8)^3+Proyecciones!G37/(1+$B8)^4+Proyecciones!H37/(1+$B8)^5+(Proyecciones!H8*DATOS!K94*(1-DATOS!K73)*(1+D$5)/($B8-D$5))/(1+$B8)^5)+(DATOS!I37-DATOS!I55))/DATOS!K67</f>
        <v>111.3122992</v>
      </c>
      <c r="E8" s="91">
        <f>((Proyecciones!D37/(1+$B8)^1+Proyecciones!E37/(1+$B8)^2+Proyecciones!F37/(1+$B8)^3+Proyecciones!G37/(1+$B8)^4+Proyecciones!H37/(1+$B8)^5+(Proyecciones!H8*DATOS!K94*(1-DATOS!K73)*(1+E$5)/($B8-E$5))/(1+$B8)^5)+(DATOS!I37-DATOS!I55))/DATOS!K67</f>
        <v>117.6611408</v>
      </c>
      <c r="F8" s="86">
        <f>((Proyecciones!D37/(1+$B8)^1+Proyecciones!E37/(1+$B8)^2+Proyecciones!F37/(1+$B8)^3+Proyecciones!G37/(1+$B8)^4+Proyecciones!H37/(1+$B8)^5+(Proyecciones!H8*DATOS!K94*(1-DATOS!K73)*(1+F$5)/($B8-F$5))/(1+$B8)^5)+(DATOS!I37-DATOS!I55))/DATOS!K67</f>
        <v>125.2797508</v>
      </c>
      <c r="G8" s="86">
        <f>((Proyecciones!D37/(1+$B8)^1+Proyecciones!E37/(1+$B8)^2+Proyecciones!F37/(1+$B8)^3+Proyecciones!G37/(1+$B8)^4+Proyecciones!H37/(1+$B8)^5+(Proyecciones!H8*DATOS!K94*(1-DATOS!K73)*(1+G$5)/($B8-G$5))/(1+$B8)^5)+(DATOS!I37-DATOS!I55))/DATOS!K67</f>
        <v>134.5913852</v>
      </c>
    </row>
    <row r="9" ht="15.0" customHeight="1">
      <c r="A9" s="1"/>
      <c r="B9" s="85">
        <v>0.095</v>
      </c>
      <c r="C9" s="86">
        <f>((Proyecciones!D37/(1+$B9)^1+Proyecciones!E37/(1+$B9)^2+Proyecciones!F37/(1+$B9)^3+Proyecciones!G37/(1+$B9)^4+Proyecciones!H37/(1+$B9)^5+(Proyecciones!H8*DATOS!K94*(1-DATOS!K73)*(1+C$5)/($B9-C$5))/(1+$B9)^5)+(DATOS!I37-DATOS!I55))/DATOS!K67</f>
        <v>95.20377112</v>
      </c>
      <c r="D9" s="86">
        <f>((Proyecciones!D37/(1+$B9)^1+Proyecciones!E37/(1+$B9)^2+Proyecciones!F37/(1+$B9)^3+Proyecciones!G37/(1+$B9)^4+Proyecciones!H37/(1+$B9)^5+(Proyecciones!H8*DATOS!K94*(1-DATOS!K73)*(1+D$5)/($B9-D$5))/(1+$B9)^5)+(DATOS!I37-DATOS!I55))/DATOS!K67</f>
        <v>99.05067741</v>
      </c>
      <c r="E9" s="86">
        <f>((Proyecciones!D37/(1+$B9)^1+Proyecciones!E37/(1+$B9)^2+Proyecciones!F37/(1+$B9)^3+Proyecciones!G37/(1+$B9)^4+Proyecciones!H37/(1+$B9)^5+(Proyecciones!H8*DATOS!K94*(1-DATOS!K73)*(1+E$5)/($B9-E$5))/(1+$B9)^5)+(DATOS!I37-DATOS!I55))/DATOS!K67</f>
        <v>103.4894154</v>
      </c>
      <c r="F9" s="86">
        <f>((Proyecciones!D37/(1+$B9)^1+Proyecciones!E37/(1+$B9)^2+Proyecciones!F37/(1+$B9)^3+Proyecciones!G37/(1+$B9)^4+Proyecciones!H37/(1+$B9)^5+(Proyecciones!H8*DATOS!K94*(1-DATOS!K73)*(1+F$5)/($B9-F$5))/(1+$B9)^5)+(DATOS!I37-DATOS!I55))/DATOS!K67</f>
        <v>108.6679431</v>
      </c>
      <c r="G9" s="86">
        <f>((Proyecciones!D37/(1+$B9)^1+Proyecciones!E37/(1+$B9)^2+Proyecciones!F37/(1+$B9)^3+Proyecciones!G37/(1+$B9)^4+Proyecciones!H37/(1+$B9)^5+(Proyecciones!H8*DATOS!K94*(1-DATOS!K73)*(1+G$5)/($B9-G$5))/(1+$B9)^5)+(DATOS!I37-DATOS!I55))/DATOS!K67</f>
        <v>114.7880213</v>
      </c>
    </row>
    <row r="10" ht="15.0" customHeight="1">
      <c r="A10" s="1"/>
      <c r="B10" s="85">
        <v>0.105</v>
      </c>
      <c r="C10" s="86">
        <f>((Proyecciones!D37/(1+$B10)^1+Proyecciones!E37/(1+$B10)^2+Proyecciones!F37/(1+$B10)^3+Proyecciones!G37/(1+$B10)^4+Proyecciones!H37/(1+$B10)^5+(Proyecciones!H8*DATOS!K94*(1-DATOS!K73)*(1+C$5)/($B10-C$5))/(1+$B10)^5)+(DATOS!I37-DATOS!I55))/DATOS!K67</f>
        <v>87.04634412</v>
      </c>
      <c r="D10" s="86">
        <f>((Proyecciones!D37/(1+$B10)^1+Proyecciones!E37/(1+$B10)^2+Proyecciones!F37/(1+$B10)^3+Proyecciones!G37/(1+$B10)^4+Proyecciones!H37/(1+$B10)^5+(Proyecciones!H8*DATOS!K94*(1-DATOS!K73)*(1+D$5)/($B10-D$5))/(1+$B10)^5)+(DATOS!I37-DATOS!I55))/DATOS!K67</f>
        <v>89.91032004</v>
      </c>
      <c r="E10" s="86">
        <f>((Proyecciones!D37/(1+$B10)^1+Proyecciones!E37/(1+$B10)^2+Proyecciones!F37/(1+$B10)^3+Proyecciones!G37/(1+$B10)^4+Proyecciones!H37/(1+$B10)^5+(Proyecciones!H8*DATOS!K94*(1-DATOS!K73)*(1+E$5)/($B10-E$5))/(1+$B10)^5)+(DATOS!I37-DATOS!I55))/DATOS!K67</f>
        <v>93.15615942</v>
      </c>
      <c r="F10" s="86">
        <f>((Proyecciones!D37/(1+$B10)^1+Proyecciones!E37/(1+$B10)^2+Proyecciones!F37/(1+$B10)^3+Proyecciones!G37/(1+$B10)^4+Proyecciones!H37/(1+$B10)^5+(Proyecciones!H8*DATOS!K94*(1-DATOS!K73)*(1+F$5)/($B10-F$5))/(1+$B10)^5)+(DATOS!I37-DATOS!I55))/DATOS!K67</f>
        <v>96.86569013</v>
      </c>
      <c r="G10" s="86">
        <f>((Proyecciones!D37/(1+$B10)^1+Proyecciones!E37/(1+$B10)^2+Proyecciones!F37/(1+$B10)^3+Proyecciones!G37/(1+$B10)^4+Proyecciones!H37/(1+$B10)^5+(Proyecciones!H8*DATOS!K94*(1-DATOS!K73)*(1+G$5)/($B10-G$5))/(1+$B10)^5)+(DATOS!I37-DATOS!I55))/DATOS!K67</f>
        <v>101.1459179</v>
      </c>
    </row>
    <row r="11">
      <c r="A11" s="1"/>
      <c r="B11" s="1"/>
      <c r="C11" s="1"/>
      <c r="D11" s="1"/>
      <c r="E11" s="1"/>
      <c r="F11" s="1"/>
      <c r="G11" s="1"/>
    </row>
    <row r="12" ht="15.0" customHeight="1">
      <c r="A12" s="1"/>
      <c r="B12" s="96" t="s">
        <v>520</v>
      </c>
      <c r="C12" s="95">
        <f>DATOS!K66</f>
        <v>166.34</v>
      </c>
      <c r="D12" s="6" t="s">
        <v>521</v>
      </c>
    </row>
    <row r="13">
      <c r="A13" s="1"/>
      <c r="B13" s="1"/>
      <c r="C13" s="1"/>
      <c r="D13" s="1"/>
      <c r="E13" s="1"/>
      <c r="F13" s="1"/>
      <c r="G13" s="1"/>
    </row>
    <row r="14" ht="55.5" customHeight="1">
      <c r="A14" s="1"/>
      <c r="B14" s="63" t="s">
        <v>522</v>
      </c>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8.0"/>
    <col customWidth="1" min="3" max="7" width="13.0"/>
    <col customWidth="1" min="8" max="8" width="30.0"/>
    <col customWidth="1" min="9" max="26" width="8.71"/>
  </cols>
  <sheetData>
    <row r="1">
      <c r="A1" s="1"/>
      <c r="B1" s="1"/>
      <c r="C1" s="1"/>
      <c r="D1" s="1"/>
      <c r="E1" s="1"/>
      <c r="F1" s="1"/>
      <c r="G1" s="1"/>
      <c r="H1" s="1"/>
    </row>
    <row r="2" ht="24.0" customHeight="1">
      <c r="A2" s="1"/>
      <c r="B2" s="54" t="s">
        <v>482</v>
      </c>
      <c r="C2" s="4"/>
      <c r="D2" s="4"/>
      <c r="E2" s="4"/>
      <c r="F2" s="4"/>
      <c r="G2" s="4"/>
      <c r="H2" s="5"/>
    </row>
    <row r="3" ht="30.0" customHeight="1">
      <c r="A3" s="1"/>
      <c r="B3" s="6" t="s">
        <v>483</v>
      </c>
    </row>
    <row r="4">
      <c r="A4" s="1"/>
      <c r="B4" s="1"/>
      <c r="C4" s="1"/>
      <c r="D4" s="1"/>
      <c r="E4" s="1"/>
      <c r="F4" s="1"/>
      <c r="G4" s="1"/>
      <c r="H4" s="1"/>
    </row>
    <row r="5" ht="15.0" customHeight="1">
      <c r="A5" s="1"/>
      <c r="B5" s="11" t="s">
        <v>484</v>
      </c>
      <c r="C5" s="11" t="s">
        <v>485</v>
      </c>
      <c r="D5" s="11" t="s">
        <v>486</v>
      </c>
      <c r="E5" s="11" t="s">
        <v>487</v>
      </c>
      <c r="F5" s="11" t="s">
        <v>488</v>
      </c>
      <c r="G5" s="11" t="s">
        <v>16</v>
      </c>
      <c r="H5" s="1"/>
    </row>
    <row r="6" ht="36.75" customHeight="1">
      <c r="A6" s="1"/>
      <c r="B6" s="17" t="s">
        <v>489</v>
      </c>
      <c r="C6" s="76" t="s">
        <v>490</v>
      </c>
      <c r="D6" s="87">
        <v>35.0</v>
      </c>
      <c r="E6" s="87">
        <v>22.0</v>
      </c>
      <c r="F6" s="87">
        <v>3.8</v>
      </c>
      <c r="G6" s="22" t="s">
        <v>491</v>
      </c>
      <c r="H6" s="1"/>
    </row>
    <row r="7" ht="36.75" customHeight="1">
      <c r="A7" s="1"/>
      <c r="B7" s="17" t="s">
        <v>492</v>
      </c>
      <c r="C7" s="76" t="s">
        <v>493</v>
      </c>
      <c r="D7" s="87">
        <v>30.0</v>
      </c>
      <c r="E7" s="87">
        <v>18.0</v>
      </c>
      <c r="F7" s="87">
        <v>10.0</v>
      </c>
      <c r="G7" s="22" t="s">
        <v>494</v>
      </c>
      <c r="H7" s="1"/>
    </row>
    <row r="8" ht="27.75" customHeight="1">
      <c r="A8" s="1"/>
      <c r="B8" s="17" t="s">
        <v>495</v>
      </c>
      <c r="C8" s="76" t="s">
        <v>496</v>
      </c>
      <c r="D8" s="88" t="s">
        <v>497</v>
      </c>
      <c r="E8" s="88" t="s">
        <v>497</v>
      </c>
      <c r="F8" s="87">
        <v>8.0</v>
      </c>
      <c r="G8" s="22" t="s">
        <v>498</v>
      </c>
      <c r="H8" s="1"/>
    </row>
    <row r="9" ht="27.75" customHeight="1">
      <c r="A9" s="1"/>
      <c r="B9" s="17" t="s">
        <v>499</v>
      </c>
      <c r="C9" s="76" t="s">
        <v>500</v>
      </c>
      <c r="D9" s="88" t="s">
        <v>497</v>
      </c>
      <c r="E9" s="88" t="s">
        <v>497</v>
      </c>
      <c r="F9" s="87">
        <v>12.0</v>
      </c>
      <c r="G9" s="22" t="s">
        <v>501</v>
      </c>
      <c r="H9" s="1"/>
    </row>
    <row r="10" ht="18.75" customHeight="1">
      <c r="A10" s="1"/>
      <c r="B10" s="17" t="s">
        <v>502</v>
      </c>
      <c r="C10" s="76" t="s">
        <v>503</v>
      </c>
      <c r="D10" s="88" t="s">
        <v>497</v>
      </c>
      <c r="E10" s="88" t="s">
        <v>497</v>
      </c>
      <c r="F10" s="87">
        <v>4.5</v>
      </c>
      <c r="G10" s="22" t="s">
        <v>504</v>
      </c>
      <c r="H10" s="1"/>
    </row>
    <row r="11" ht="18.75" customHeight="1">
      <c r="A11" s="1"/>
      <c r="B11" s="17" t="s">
        <v>505</v>
      </c>
      <c r="C11" s="76" t="s">
        <v>506</v>
      </c>
      <c r="D11" s="88" t="s">
        <v>497</v>
      </c>
      <c r="E11" s="88" t="s">
        <v>497</v>
      </c>
      <c r="F11" s="87">
        <v>3.5</v>
      </c>
      <c r="G11" s="22" t="s">
        <v>507</v>
      </c>
      <c r="H11" s="1"/>
    </row>
    <row r="12" ht="15.0" customHeight="1">
      <c r="A12" s="1"/>
      <c r="B12" s="89" t="s">
        <v>508</v>
      </c>
      <c r="C12" s="12"/>
      <c r="D12" s="90">
        <f t="shared" ref="D12:F12" si="1">MEDIAN(D6:D11)</f>
        <v>32.5</v>
      </c>
      <c r="E12" s="90">
        <f t="shared" si="1"/>
        <v>20</v>
      </c>
      <c r="F12" s="90">
        <f t="shared" si="1"/>
        <v>6.25</v>
      </c>
      <c r="G12" s="1"/>
      <c r="H12" s="1"/>
    </row>
    <row r="13">
      <c r="A13" s="1"/>
      <c r="B13" s="1"/>
      <c r="C13" s="1"/>
      <c r="D13" s="1"/>
      <c r="E13" s="1"/>
      <c r="F13" s="1"/>
      <c r="G13" s="1"/>
      <c r="H13" s="1"/>
    </row>
    <row r="14" ht="15.0" customHeight="1">
      <c r="A14" s="1"/>
      <c r="B14" s="8" t="s">
        <v>509</v>
      </c>
      <c r="C14" s="12"/>
      <c r="D14" s="12"/>
      <c r="E14" s="12"/>
      <c r="F14" s="12"/>
      <c r="G14" s="12"/>
      <c r="H14" s="12"/>
    </row>
    <row r="15" ht="15.0" customHeight="1">
      <c r="A15" s="1"/>
      <c r="B15" s="11" t="s">
        <v>510</v>
      </c>
      <c r="C15" s="11" t="s">
        <v>511</v>
      </c>
      <c r="D15" s="11" t="s">
        <v>512</v>
      </c>
      <c r="E15" s="11" t="s">
        <v>513</v>
      </c>
      <c r="F15" s="1"/>
      <c r="G15" s="1"/>
      <c r="H15" s="11" t="s">
        <v>514</v>
      </c>
    </row>
    <row r="16" ht="15.0" customHeight="1">
      <c r="A16" s="1"/>
      <c r="B16" s="17" t="s">
        <v>515</v>
      </c>
      <c r="C16" s="92">
        <f>Proyecciones!D15</f>
        <v>102.7156736</v>
      </c>
      <c r="D16" s="93">
        <f>D12</f>
        <v>32.5</v>
      </c>
      <c r="E16" s="78">
        <f>Proyecciones!D15*D12/DATOS!K67</f>
        <v>167.3312978</v>
      </c>
      <c r="F16" s="94" t="s">
        <v>516</v>
      </c>
      <c r="G16" s="10"/>
      <c r="H16" s="10"/>
    </row>
    <row r="17" ht="15.0" customHeight="1">
      <c r="A17" s="1"/>
      <c r="B17" s="17" t="s">
        <v>517</v>
      </c>
      <c r="C17" s="92">
        <f>Proyecciones!D10+Proyecciones!D33</f>
        <v>75.3816</v>
      </c>
      <c r="D17" s="93">
        <f>E12</f>
        <v>20</v>
      </c>
      <c r="E17" s="78">
        <f>((Proyecciones!D10+Proyecciones!D33)*E12+DATOS!I37-DATOS!I55)/DATOS!K67</f>
        <v>110.2071178</v>
      </c>
      <c r="F17" s="94" t="s">
        <v>518</v>
      </c>
      <c r="G17" s="10"/>
      <c r="H17" s="10"/>
    </row>
    <row r="18" ht="15.0" customHeight="1">
      <c r="A18" s="1"/>
      <c r="B18" s="16" t="s">
        <v>476</v>
      </c>
      <c r="C18" s="1"/>
      <c r="D18" s="1"/>
      <c r="E18" s="95">
        <f>DATOS!K66</f>
        <v>166.34</v>
      </c>
      <c r="F18" s="1"/>
      <c r="G18" s="1"/>
      <c r="H18" s="1"/>
    </row>
    <row r="19">
      <c r="A19" s="1"/>
      <c r="B19" s="1"/>
      <c r="C19" s="1"/>
      <c r="D19" s="1"/>
      <c r="E19" s="1"/>
      <c r="F19" s="1"/>
      <c r="G19" s="1"/>
      <c r="H19" s="1"/>
    </row>
    <row r="20" ht="51.75" customHeight="1">
      <c r="A20" s="1"/>
      <c r="B20" s="63" t="s">
        <v>519</v>
      </c>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5">
    <mergeCell ref="B2:H2"/>
    <mergeCell ref="B3:H3"/>
    <mergeCell ref="F16:H16"/>
    <mergeCell ref="F17:H17"/>
    <mergeCell ref="B20:H20"/>
  </mergeCells>
  <printOptions/>
  <pageMargins bottom="1.0" footer="0.0" header="0.0" left="0.75" right="0.75" top="1.0"/>
  <pageSetup paperSize="9" orientation="portrait"/>
  <drawing r:id="rId1"/>
</worksheet>
</file>