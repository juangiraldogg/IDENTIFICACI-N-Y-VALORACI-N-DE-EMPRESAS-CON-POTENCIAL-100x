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DATOS" sheetId="2" r:id="rId6"/>
    <sheet state="visible" name="Estado Resultados" sheetId="3" r:id="rId7"/>
    <sheet state="visible" name="Balance" sheetId="4" r:id="rId8"/>
    <sheet state="visible" name="Análisis Financiero" sheetId="5" r:id="rId9"/>
    <sheet state="visible" name="Proyecciones" sheetId="6" r:id="rId10"/>
    <sheet state="visible" name="Valoración" sheetId="7" r:id="rId11"/>
    <sheet state="visible" name="Sensibilidad" sheetId="8" r:id="rId12"/>
    <sheet state="visible" name="Comparables" sheetId="9" r:id="rId13"/>
  </sheets>
  <definedNames/>
  <calcPr/>
</workbook>
</file>

<file path=xl/sharedStrings.xml><?xml version="1.0" encoding="utf-8"?>
<sst xmlns="http://schemas.openxmlformats.org/spreadsheetml/2006/main" count="444" uniqueCount="406">
  <si>
    <t>ENERGY FUELS (NYSE: UUUU) — Resumen Ejecutivo</t>
  </si>
  <si>
    <t>ENERGY FUELS (UUUU) — HOJA DE DATOS CRUDOS (SEC 10-K / 10-Q)</t>
  </si>
  <si>
    <t>Modelo profesional (metodología Celsia/Murray). Arquitectura DATOS→fórmulas. Datos SEC hasta Q2 2026 (5-ago-2026).</t>
  </si>
  <si>
    <t>Fuente única. Azul = directo de SEC. Las demás hojas jalan con fórmulas. Edita SOLO aquí para actualizar. UUUU es minero de uranio + tierras raras EN TRANSFORMACIÓN (pierde dinero hoy). Valores en millones USD.</t>
  </si>
  <si>
    <t>CIFRAS CLAVE (de DATOS)</t>
  </si>
  <si>
    <t>ANUALES COMPLETOS</t>
  </si>
  <si>
    <t>Precio de la acción</t>
  </si>
  <si>
    <t>Q1 (homólogo)</t>
  </si>
  <si>
    <t>Q2 (homólogo)</t>
  </si>
  <si>
    <t>1S acumulado</t>
  </si>
  <si>
    <t>Concepto ($M)</t>
  </si>
  <si>
    <t>FY2023</t>
  </si>
  <si>
    <t>FY2024</t>
  </si>
  <si>
    <t>FY2025</t>
  </si>
  <si>
    <t>Q1-25</t>
  </si>
  <si>
    <t>Q1-26</t>
  </si>
  <si>
    <t>Q2-25</t>
  </si>
  <si>
    <t>Q2-26</t>
  </si>
  <si>
    <t>1S-25</t>
  </si>
  <si>
    <t>1S-26</t>
  </si>
  <si>
    <t>Fuente / nota</t>
  </si>
  <si>
    <t>ESTADO DE RESULTADOS</t>
  </si>
  <si>
    <t>ESTADO DE RESULTADOS — comparación homogénea (jala de DATOS)</t>
  </si>
  <si>
    <t>INGRESOS TOTALES</t>
  </si>
  <si>
    <t>~$16 (ref. jun 2026).</t>
  </si>
  <si>
    <t>Capitalización de mercado</t>
  </si>
  <si>
    <t>Q1 vs Q1, Q2 vs Q2 con Δ%, luego 1S y anuales. UUUU pierde dinero: se busca si la pérdida se estrecha y por qué.</t>
  </si>
  <si>
    <t>Yahoo/10-Q. 1S = Q1+Q2.</t>
  </si>
  <si>
    <t>BALANCE GENERAL — dic25 → mar26 → jun26 ($M)</t>
  </si>
  <si>
    <t>Costo de ventas</t>
  </si>
  <si>
    <t>ANUALES</t>
  </si>
  <si>
    <t>FY. Q trimestral no siempre aislado.</t>
  </si>
  <si>
    <t>UTILIDAD BRUTA</t>
  </si>
  <si>
    <t>~258M acciones.</t>
  </si>
  <si>
    <t>Balance dominado por valores negociables (~$878M). Verde = de DATOS.</t>
  </si>
  <si>
    <t>GP. Q1 25 negativo.</t>
  </si>
  <si>
    <t>Ingresos 1S 2026</t>
  </si>
  <si>
    <t>Gastos operativos (dev/expl/G&amp;A)</t>
  </si>
  <si>
    <t>Partida ($M)</t>
  </si>
  <si>
    <t>+189% vs 1S25.</t>
  </si>
  <si>
    <t>No aislado limpio.</t>
  </si>
  <si>
    <t>Q1 (25→26)</t>
  </si>
  <si>
    <t>PÉRDIDA OPERATIVA</t>
  </si>
  <si>
    <t>Pérdida neta 1S 2026</t>
  </si>
  <si>
    <t>Dic-25</t>
  </si>
  <si>
    <t>Mar-26</t>
  </si>
  <si>
    <t>Q2 (25→26)</t>
  </si>
  <si>
    <t>Jun-26</t>
  </si>
  <si>
    <t>Operating loss. Q2 26 = -30.6.</t>
  </si>
  <si>
    <t>Comentario</t>
  </si>
  <si>
    <t>Otros ingresos/ganancias</t>
  </si>
  <si>
    <t>Pérdida por crecimiento.</t>
  </si>
  <si>
    <t>Caja + valores negociables</t>
  </si>
  <si>
    <t>ACTIVOS</t>
  </si>
  <si>
    <t>2023: gran ganancia one-time (Base Res.).</t>
  </si>
  <si>
    <t>FY23</t>
  </si>
  <si>
    <t>UTILIDAD (PÉRDIDA) NETA</t>
  </si>
  <si>
    <t>~$937M líquidos.</t>
  </si>
  <si>
    <t>FY24</t>
  </si>
  <si>
    <t>FY25</t>
  </si>
  <si>
    <t>Deuda convertible</t>
  </si>
  <si>
    <t>Net income. 2023 positivo por one-time.</t>
  </si>
  <si>
    <t>Q1 25</t>
  </si>
  <si>
    <t>EPS básico ($)</t>
  </si>
  <si>
    <t>Q1 26</t>
  </si>
  <si>
    <t>Δ%</t>
  </si>
  <si>
    <t>Q2 25</t>
  </si>
  <si>
    <t>Q2 26</t>
  </si>
  <si>
    <t>0.75%, vence 2031.</t>
  </si>
  <si>
    <t>Capital de trabajo</t>
  </si>
  <si>
    <t>~$996M. El colchón.</t>
  </si>
  <si>
    <t>Loss per share.</t>
  </si>
  <si>
    <t>Inventario uranio (Mlb)</t>
  </si>
  <si>
    <t>Acciones en circulación (M)</t>
  </si>
  <si>
    <t>Caja y equivalentes</t>
  </si>
  <si>
    <t>~258M (crece por adquisiciones/ATM).</t>
  </si>
  <si>
    <t>BALANCE GENERAL (fin de periodo)</t>
  </si>
  <si>
    <t>2.27 Mlb físicas.</t>
  </si>
  <si>
    <t>VEREDICTO</t>
  </si>
  <si>
    <t>Cash. Baja: se mueve a securities.</t>
  </si>
  <si>
    <t>Tipo de inversión</t>
  </si>
  <si>
    <t>Valores negociables</t>
  </si>
  <si>
    <t>Opción sobre tierras raras</t>
  </si>
  <si>
    <t>Marketable securities: T-bills + equities de uranio.</t>
  </si>
  <si>
    <t>Cuentas por cobrar</t>
  </si>
  <si>
    <t>Apuesta al mine-to-magnet occidental, respaldada por balance fuerte y uranio rentable.</t>
  </si>
  <si>
    <t>Trade receivables.</t>
  </si>
  <si>
    <t>Inventarios</t>
  </si>
  <si>
    <t>Negocio hoy</t>
  </si>
  <si>
    <t>Uranio finished + en proceso.</t>
  </si>
  <si>
    <t>Pierde dinero</t>
  </si>
  <si>
    <t>Total activo corriente</t>
  </si>
  <si>
    <t>Current assets.</t>
  </si>
  <si>
    <t>Minero pre-rentabilidad; uranio con costos bajísimos (~$23/lb) pero aún no cubre gastos totales.</t>
  </si>
  <si>
    <t>PP&amp;E neto</t>
  </si>
  <si>
    <t>Balance</t>
  </si>
  <si>
    <t>Fortaleza extrema</t>
  </si>
  <si>
    <t>Plantas + White Mesa Mill.</t>
  </si>
  <si>
    <t>Propiedades minerales netas</t>
  </si>
  <si>
    <t>~$937M líquidos + inventario, razón corriente ~31x. Años de pista.</t>
  </si>
  <si>
    <t>Mineral properties. Activo clave del NAV.</t>
  </si>
  <si>
    <t>Transformación</t>
  </si>
  <si>
    <t>TOTAL ACTIVOS</t>
  </si>
  <si>
    <t>En marcha</t>
  </si>
  <si>
    <t>Adquisiciones VAC ($1.9B) + ASM: de minero a plataforma integrada de imanes REE.</t>
  </si>
  <si>
    <t>Valoración</t>
  </si>
  <si>
    <t>Por NAV, no DCF</t>
  </si>
  <si>
    <t>Pierde dinero → DCF no aplica. NAV = líquidos + uranio + minerales + opción REE − deuda.</t>
  </si>
  <si>
    <t>Total assets.</t>
  </si>
  <si>
    <t>Riesgo/premio</t>
  </si>
  <si>
    <t>Muy binario</t>
  </si>
  <si>
    <t>Total pasivo corriente</t>
  </si>
  <si>
    <t>Piso por los líquidos; techo alto SI el mine-to-magnet funciona. Dilución por adquisiciones es riesgo real.</t>
  </si>
  <si>
    <t>Current liabilities.</t>
  </si>
  <si>
    <t>COMPARACIÓN CON CENTRUS (LEU)</t>
  </si>
  <si>
    <t>Deuda convertible (neta)</t>
  </si>
  <si>
    <t>LEU (Centrus)</t>
  </si>
  <si>
    <t>0.75% Conv. Notes due 2031 ($700M face).</t>
  </si>
  <si>
    <t>TOTAL PASIVOS</t>
  </si>
  <si>
    <t>Baja: rota hacia securities con interés.</t>
  </si>
  <si>
    <t>Rentable, opción HALEU</t>
  </si>
  <si>
    <t>Total liabilities.</t>
  </si>
  <si>
    <t>Gana dinero; se valora por DCF+opción; monopolio de enriquecimiento.</t>
  </si>
  <si>
    <t>PATRIMONIO TOTAL</t>
  </si>
  <si>
    <t>UUUU (Energy Fuels)</t>
  </si>
  <si>
    <t>Pierde dinero, opción REE</t>
  </si>
  <si>
    <t>Se valora por NAV; balance de "fondo + minera"; apuesta a tierras raras.</t>
  </si>
  <si>
    <t>En común</t>
  </si>
  <si>
    <t>Equity = Activos − Pasivos.</t>
  </si>
  <si>
    <t>Ambas = opciones estratégicas</t>
  </si>
  <si>
    <t>Materiales críticos, respaldo de seguridad nacional USA, alto riesgo/premio.</t>
  </si>
  <si>
    <t>Capital de trabajo (reportado)</t>
  </si>
  <si>
    <t>Working capital reportado por la empresa.</t>
  </si>
  <si>
    <t>DESCARGO: material educativo, no asesoría financiera. Verifica en SEC EDGAR. Alto riesgo; puedes perder capital.</t>
  </si>
  <si>
    <t>FLUJO DE CAJA (acumulado)</t>
  </si>
  <si>
    <t>Flujo de caja operativo</t>
  </si>
  <si>
    <t>OCF negativo (pierde dinero). Aproximado.</t>
  </si>
  <si>
    <t>CapEx</t>
  </si>
  <si>
    <t>Inversión en expansión REE. Aproximado.</t>
  </si>
  <si>
    <t>~$878M: T-bills + equities de uranio. El grueso del valor.</t>
  </si>
  <si>
    <t>MERCADO Y OPERATIVO (editable)</t>
  </si>
  <si>
    <t xml:space="preserve">   Cuentas por cobrar</t>
  </si>
  <si>
    <t>Precio de la acción ($)</t>
  </si>
  <si>
    <t>ACTUALIZAR. ~$16 (jun 2026, ref VAC deal).</t>
  </si>
  <si>
    <t>Precio spot U3O8 ($/lb)</t>
  </si>
  <si>
    <t>TradeTech 31-jul-2026.</t>
  </si>
  <si>
    <t>Precio largo plazo U3O8 ($/lb)</t>
  </si>
  <si>
    <t>Long-term price.</t>
  </si>
  <si>
    <t>Inventario U3O8 (Mlb finished+contained)</t>
  </si>
  <si>
    <t>Utilidad bruta</t>
  </si>
  <si>
    <t xml:space="preserve">   Inventarios</t>
  </si>
  <si>
    <t>2.265 Mlb totales jun 2026.</t>
  </si>
  <si>
    <t>Producción 2026E (Mlb, pto medio)</t>
  </si>
  <si>
    <t>Guía 1.5-2.5 Mlb.</t>
  </si>
  <si>
    <t>SUPUESTOS DE VALORACIÓN (editable)</t>
  </si>
  <si>
    <t>Tasa libre de riesgo (Treasury 10y)</t>
  </si>
  <si>
    <t>Uranio: ~2.27 Mlb físicas.</t>
  </si>
  <si>
    <t>GUÍA DE HOJAS: DATOS · Estado Resultados · Balance · Análisis Financiero · Proyecciones (3 estados) · Valoración (DCF+NAV) · Sensibilidad · Comparables.</t>
  </si>
  <si>
    <t>~4.3%.</t>
  </si>
  <si>
    <t>Prima de riesgo de mercado</t>
  </si>
  <si>
    <t>ERP USA.</t>
  </si>
  <si>
    <t>Beta desapalancado (minería/materiales)</t>
  </si>
  <si>
    <t>Minero: beta alto. EDITA.</t>
  </si>
  <si>
    <t>Tasa impositiva</t>
  </si>
  <si>
    <t>USA 21%.</t>
  </si>
  <si>
    <t>Costo de la deuda</t>
  </si>
  <si>
    <t>Convertible 0.75% + spread crédito.</t>
  </si>
  <si>
    <t>UUUU pierde dinero: NOPLAT/ROIC negativos. Por eso la valoración se hace por NAV/suma de partes, no solo DCF.</t>
  </si>
  <si>
    <t>Pérdida operativa</t>
  </si>
  <si>
    <t>Balance dominado por ~$878M en valores negociables (securities): casi un fondo con opción minera encima.</t>
  </si>
  <si>
    <t>Adquisiciones pendientes (VAC $1.9B + ASM) transformarán la empresa hacia imanes de tierras raras. NO están en estos números aún.</t>
  </si>
  <si>
    <t>White Mesa Mill + minas.</t>
  </si>
  <si>
    <t>Segmentos: Uranio (produce), REE (temprano), HMS/mineral sands (desarrollo).</t>
  </si>
  <si>
    <t>DRIVERS DE PROYECCIÓN (editables) — minero en transición a rentabilidad</t>
  </si>
  <si>
    <t>Ingresos base (1S26 × 2, $M)</t>
  </si>
  <si>
    <t>Activo clave para el NAV: reservas.</t>
  </si>
  <si>
    <t>Anualiza 1S2026. Uranio + algo REE.</t>
  </si>
  <si>
    <t>Crecim. ingresos año 1</t>
  </si>
  <si>
    <t>Rampa uranio + inicio REE (VAC/ASM).</t>
  </si>
  <si>
    <t>Crecim. ingresos año 2</t>
  </si>
  <si>
    <t>Tierras raras entrando en volumen.</t>
  </si>
  <si>
    <t>Crecim. ingresos año 3</t>
  </si>
  <si>
    <t>PASIVOS Y PATRIMONIO</t>
  </si>
  <si>
    <t>Crecim. ingresos año 4</t>
  </si>
  <si>
    <t>Maduración.</t>
  </si>
  <si>
    <t>Crecim. ingresos año 5</t>
  </si>
  <si>
    <t xml:space="preserve">   Total pasivo corriente</t>
  </si>
  <si>
    <t>Margen EBIT año 1</t>
  </si>
  <si>
    <t>Aún pierde: costos de rampa REE.</t>
  </si>
  <si>
    <t>Margen EBIT año 2</t>
  </si>
  <si>
    <t>Se estrecha la pérdida.</t>
  </si>
  <si>
    <t>Margen EBIT año 3</t>
  </si>
  <si>
    <t>$700M face, 0.75%, vence 2031.</t>
  </si>
  <si>
    <t>Activos − Pasivos.</t>
  </si>
  <si>
    <t>MÉTRICAS</t>
  </si>
  <si>
    <t>Caja+securities − deuda ($M)</t>
  </si>
  <si>
    <t>Posición financiera neta. Muy positiva.</t>
  </si>
  <si>
    <t>Razón corriente</t>
  </si>
  <si>
    <t>CRUCE a rentabilidad operativa.</t>
  </si>
  <si>
    <t>Enorme (~27x): casi sin pasivo corriente.</t>
  </si>
  <si>
    <t>Margen EBIT año 4</t>
  </si>
  <si>
    <t>Deuda/Patrimonio</t>
  </si>
  <si>
    <t>EPS ($)</t>
  </si>
  <si>
    <t>Escala.</t>
  </si>
  <si>
    <t>Margen EBIT año 5</t>
  </si>
  <si>
    <t>Margen maduro de minero integrado.</t>
  </si>
  <si>
    <t>Margen EBIT terminal</t>
  </si>
  <si>
    <t>Estado estable (minero+REE rentable).</t>
  </si>
  <si>
    <t>Depreciación como % ventas</t>
  </si>
  <si>
    <t>Intensivo en activos.</t>
  </si>
  <si>
    <t>CapEx como % ventas</t>
  </si>
  <si>
    <t>Apalancamiento moderado.</t>
  </si>
  <si>
    <t>Expansión de minas + planta REE.</t>
  </si>
  <si>
    <t>Working capital como % ventas</t>
  </si>
  <si>
    <t>Inventario de uranio.</t>
  </si>
  <si>
    <t>Rendimiento sobre securities</t>
  </si>
  <si>
    <t>Lectura: el balance de UUUU es casi el de un fondo de inversión con una minera encima. ~$878M en valores negociables + inventario físico de uranio, contra solo $700M de deuda convertible barata (0.75%). Esa fortaleza es lo que le permite financiar las adquisiciones VAC/ASM y la expansión de tierras raras sin depender del mercado. El activo "propiedades minerales" ($329M) es la base del NAV minero.</t>
  </si>
  <si>
    <t>~4% sobre los ~$878M en securities.</t>
  </si>
  <si>
    <t>Reparto de dividendos</t>
  </si>
  <si>
    <t>No paga (reinvierte).</t>
  </si>
  <si>
    <t>ACUMULADO SEMESTRE (1S)</t>
  </si>
  <si>
    <t>1S 2025</t>
  </si>
  <si>
    <t>1S 2026</t>
  </si>
  <si>
    <t>Lectura</t>
  </si>
  <si>
    <t>Ingresos totales</t>
  </si>
  <si>
    <t>+189%: uranio a plena venta vs 1S25 flojo.</t>
  </si>
  <si>
    <t>Pérdida neta</t>
  </si>
  <si>
    <t>Pérdida ~plana: mejora uranio compensada por costos de adquisiciones (VAC/ASM).</t>
  </si>
  <si>
    <t>Clave: los ingresos casi se triplican en 1S (uranio vendiéndose a ~$80/lb con costos de producción de ~$23/lb en Pinyon Plain, de los más bajos del mundo). Pero la pérdida neta NO mejora porque los costos de las adquisiciones VAC/ASM y la inversión en expansión de tierras raras se comen el margen. Es pérdida por CRECIMIENTO, no por operación deficiente. Lo que hay que vigilar: cuándo el segmento uranio alcanza breakeven consolidado.</t>
  </si>
  <si>
    <t>ANÁLISIS FINANCIERO — Liquidez · Actividad · Endeudamiento · Rentabilidad · DuPont</t>
  </si>
  <si>
    <t>Metodología Celsia/Murray. OJO: como UUUU pierde dinero, márgenes y ROE/ROIC son negativos — es lo esperado en un minero pre-rentabilidad.</t>
  </si>
  <si>
    <t>Indicador</t>
  </si>
  <si>
    <t>Interpretación</t>
  </si>
  <si>
    <t>1 · LIQUIDEZ</t>
  </si>
  <si>
    <t>FY25 ~31x. Liquidez extrema.</t>
  </si>
  <si>
    <t>Capital de trabajo ($M)</t>
  </si>
  <si>
    <t>~$927M. El colchón de la tesis.</t>
  </si>
  <si>
    <t>2 · ACTIVIDAD</t>
  </si>
  <si>
    <t>Rotación de activos</t>
  </si>
  <si>
    <t>Bajísima: activos financieros, no operativos.</t>
  </si>
  <si>
    <t>Días de inventario</t>
  </si>
  <si>
    <t>Inventario de uranio estratégico.</t>
  </si>
  <si>
    <t>3 · ENDEUDAMIENTO</t>
  </si>
  <si>
    <t>Nivel de endeudamiento</t>
  </si>
  <si>
    <t>FY25 ~52%: casi todo la convertible.</t>
  </si>
  <si>
    <t>~1x. Moderado.</t>
  </si>
  <si>
    <t>Caja+securities/Deuda</t>
  </si>
  <si>
    <t>&gt;1.2x: cubre la deuda solo con líquidos.</t>
  </si>
  <si>
    <t>4 · RENTABILIDAD (negativa: pre-breakeven)</t>
  </si>
  <si>
    <t>Margen bruto</t>
  </si>
  <si>
    <t>Positivo pero volátil por costos de standby.</t>
  </si>
  <si>
    <t>Margen neto</t>
  </si>
  <si>
    <t>FY23 positivo por one-time; FY24-25 negativo.</t>
  </si>
  <si>
    <t>ROA</t>
  </si>
  <si>
    <t>Negativo: pierde dinero sobre sus activos.</t>
  </si>
  <si>
    <t>ROE</t>
  </si>
  <si>
    <t>Negativo (salvo 2023 one-time).</t>
  </si>
  <si>
    <t>Diagnóstico: los ratios de rentabilidad son negativos y ESO ES NORMAL aquí — UUUU es un minero pre-rentabilidad invirtiendo en transformarse. Analizarlo por ROE/margen es engañoso. Lo relevante es: (1) liquidez extrema (razón corriente ~31x) que le da años de pista; (2) los líquidos cubren la deuda por sí solos; (3) el valor no está en las ganancias (no hay) sino en los ACTIVOS y la opción de tierras raras. Por eso la valoración va por NAV.</t>
  </si>
  <si>
    <t>MODELO DE TRES ESTADOS PROYECTADOS Y ENLAZADOS (5 años) — Energy Fuels</t>
  </si>
  <si>
    <t>Minero en transición: el margen EBIT (driver) pasa de NEGATIVO a POSITIVO — el modelo muestra CUÁNDO cruza a rentabilidad. Las pérdidas iniciales se financian con los ~$878M en securities. DESCUADRE verifica el cuadre (=0).</t>
  </si>
  <si>
    <t>Base</t>
  </si>
  <si>
    <t>Año 1</t>
  </si>
  <si>
    <t>Año 2</t>
  </si>
  <si>
    <t>Año 3</t>
  </si>
  <si>
    <t>Año 4</t>
  </si>
  <si>
    <t>Año 5</t>
  </si>
  <si>
    <t>Notas / enlace</t>
  </si>
  <si>
    <t>1 · ESTADO DE RESULTADOS</t>
  </si>
  <si>
    <t>Rampa uranio + REE.</t>
  </si>
  <si>
    <t xml:space="preserve">  Crecimiento %</t>
  </si>
  <si>
    <t>Ingreso operativo (EBIT)</t>
  </si>
  <si>
    <t>Ventas × margen EBIT (driver que sube de neg. a pos.).</t>
  </si>
  <si>
    <t xml:space="preserve">  Margen EBIT %</t>
  </si>
  <si>
    <t>NEGATIVO años 1-2, POSITIVO desde año 3.</t>
  </si>
  <si>
    <t xml:space="preserve">   (+) Rendimiento sobre securities</t>
  </si>
  <si>
    <t>~4% sobre securities del año anterior.</t>
  </si>
  <si>
    <t>Utilidad antes de impuestos</t>
  </si>
  <si>
    <t xml:space="preserve">   (−) Impuestos</t>
  </si>
  <si>
    <t>Solo paga si hay utilidad (MAX 0).</t>
  </si>
  <si>
    <t>2 · BALANCE GENERAL</t>
  </si>
  <si>
    <t>← Caja final del Flujo.</t>
  </si>
  <si>
    <t>Valores negociables (securities)</t>
  </si>
  <si>
    <t>Se mantienen (colchón). Editable.</t>
  </si>
  <si>
    <t>Ratio CxC/ventas.</t>
  </si>
  <si>
    <t>Propiedades minerales</t>
  </si>
  <si>
    <t>Constante (reservas).</t>
  </si>
  <si>
    <t>+ CapEx − depreciación.</t>
  </si>
  <si>
    <t>Otros activos (resto)</t>
  </si>
  <si>
    <t>Resto constante.</t>
  </si>
  <si>
    <t xml:space="preserve">   Pasivos operativos</t>
  </si>
  <si>
    <t>Ratio pasivos oper./ventas.</t>
  </si>
  <si>
    <t>Deuda (convertible + plug)</t>
  </si>
  <si>
    <t>VALORACIÓN — NAV / Suma de partes + WACC (CAPM)</t>
  </si>
  <si>
    <t>PLUG: cuadra el balance.</t>
  </si>
  <si>
    <t>UUUU PIERDE dinero: el DCF de flujos da negativo y no sirve. La valoración correcta de un minero pre-rentabilidad es por NAV (valor de activos). Amarillo = editable.</t>
  </si>
  <si>
    <t>1 · COSTO DE CAPITAL (WACC vía CAPM)</t>
  </si>
  <si>
    <t>Tasa libre de riesgo (Rf)</t>
  </si>
  <si>
    <t>PATRIMONIO</t>
  </si>
  <si>
    <t>De DATOS.</t>
  </si>
  <si>
    <t>Prima de riesgo (ERP)</t>
  </si>
  <si>
    <t>Previo + utilidad (o − pérdida).</t>
  </si>
  <si>
    <t>TOTAL PASIVO + PATRIMONIO</t>
  </si>
  <si>
    <t>Beta desapalancado (βu)</t>
  </si>
  <si>
    <t>Minería: beta alto. De DATOS.</t>
  </si>
  <si>
    <t>Valor de mercado del equity (E)</t>
  </si>
  <si>
    <t>DESCUADRE (Activo − Pas − Patr)</t>
  </si>
  <si>
    <t>Precio × acciones (~258M).</t>
  </si>
  <si>
    <t>Valor de la deuda (D)</t>
  </si>
  <si>
    <t>Convertible (de DATOS).</t>
  </si>
  <si>
    <t>Peso deuda D/(D+E)</t>
  </si>
  <si>
    <t>DEBE SER 0.</t>
  </si>
  <si>
    <t>3 · FLUJO DE CAJA</t>
  </si>
  <si>
    <t>Peso equity E/(D+E)</t>
  </si>
  <si>
    <t>Utilidad (pérdida) neta</t>
  </si>
  <si>
    <t>Tasa impositiva (t)</t>
  </si>
  <si>
    <t>← Resultados.</t>
  </si>
  <si>
    <t>Beta apalancado (βL, Hamada)</t>
  </si>
  <si>
    <t xml:space="preserve">   (+) Depreciación</t>
  </si>
  <si>
    <t>βu×(1+(1−t)×D/E).</t>
  </si>
  <si>
    <t>Costo del equity (Ke = CAPM)</t>
  </si>
  <si>
    <t>Rf + βL × ERP.</t>
  </si>
  <si>
    <t>Costo de la deuda (Kd)</t>
  </si>
  <si>
    <t>No-caja.</t>
  </si>
  <si>
    <t xml:space="preserve">   (−) Δ Capital de trabajo</t>
  </si>
  <si>
    <t>WACC</t>
  </si>
  <si>
    <t>We×Ke + Wd×Kd(1−t).</t>
  </si>
  <si>
    <t>2 · DCF — Flujo de Caja Libre proyectado (desde Proyecciones)</t>
  </si>
  <si>
    <t>UUUU pierde hoy pero el modelo proyecta el cruce a rentabilidad. El DCF captura ese futuro (es especulativo — ver sensibilidad).</t>
  </si>
  <si>
    <t>Año</t>
  </si>
  <si>
    <t>FCF ($M)</t>
  </si>
  <si>
    <t>Sobre crecimiento de ventas.</t>
  </si>
  <si>
    <t>VP ($M)</t>
  </si>
  <si>
    <t>FCF de la hoja Proyecciones. Negativo al inicio.</t>
  </si>
  <si>
    <t xml:space="preserve">   (−) CapEx</t>
  </si>
  <si>
    <t>% de ventas.</t>
  </si>
  <si>
    <t>Flujo de caja libre (FCF)</t>
  </si>
  <si>
    <t>OCF − CapEx. Alimenta el DCF. Negativo al inicio.</t>
  </si>
  <si>
    <t xml:space="preserve">   Caja inicial</t>
  </si>
  <si>
    <t>Caja final</t>
  </si>
  <si>
    <t>FCF terminal normalizado ($M)</t>
  </si>
  <si>
    <t>Ventas año5 × margen EBIT terminal × (1−t). Estado maduro.</t>
  </si>
  <si>
    <t>Valor terminal (Gordon, g=3%)</t>
  </si>
  <si>
    <t>→ Caja del Balance. (Securities cubren si baja mucho.)</t>
  </si>
  <si>
    <t>Cómo leerlo: el corazón de la tesis de UUUU es CUÁNDO cruza a rentabilidad. El margen EBIT (fila 11) pasa de −30% (año 1) a +5% (año 3) y +22% (año 5) — ahí se ve el punto de inflexión. Mientras pierde, la caja baja pero los ~$878M en securities son el colchón que lo sostiene sin quebrar. El FCF (verde) es negativo al inicio y positivo al madurar; el DCF valora ese futuro. Todo cuadra (Descuadre=0). Cambia los márgenes o el crecimiento en DATOS y ves cómo se mueve el año de breakeven.</t>
  </si>
  <si>
    <t>Crecimiento perpetuo 3%.</t>
  </si>
  <si>
    <t>Valor empresa (EV) ($M)</t>
  </si>
  <si>
    <t>Mill + minas.</t>
  </si>
  <si>
    <t>(+) Securities + caja − deuda ($M)</t>
  </si>
  <si>
    <t>Puente EV→equity. Incluye el gran colchón de securities.</t>
  </si>
  <si>
    <t>Valor del patrimonio ($M)</t>
  </si>
  <si>
    <t>Cuentas por cobrar.</t>
  </si>
  <si>
    <t>Valor intrínseco por acción — DCF ($)</t>
  </si>
  <si>
    <t>Face $700M.</t>
  </si>
  <si>
    <t>Precio de mercado ($)</t>
  </si>
  <si>
    <t>Pasivos no financieros.</t>
  </si>
  <si>
    <t>Margen de seguridad vs DCF</t>
  </si>
  <si>
    <t>Positivo=infravalorada. OJO: el DCF depende de que la rampa REE funcione.</t>
  </si>
  <si>
    <t>NAV por acción ($)</t>
  </si>
  <si>
    <t>NAV / ~258M acciones.</t>
  </si>
  <si>
    <t>Precio / NAV</t>
  </si>
  <si>
    <t>&gt;1 = cotiza sobre NAV (paga prima por la opción REE). &lt;1 = descuento.</t>
  </si>
  <si>
    <t>ADVERTENCIA: el NAV depende críticamente de dos cosas muy inciertas: (1) el valor de la "opción tierras raras" ($300M es un marcador editable — podría ser 0 o 5x eso según si el mine-to-magnet funciona), y (2) el precio del uranio y de las equities en securities (volátiles). El grueso del NAV "duro" son los ~$937M de líquidos + inventario, que ponen un piso. Todo lo demás es opcionalidad. Por eso UUUU cotiza como una apuesta al futuro de las tierras raras occidentales respaldada por un balance fuerte.</t>
  </si>
  <si>
    <t>ANÁLISIS DE SENSIBILIDAD — Valor por acción (DCF)</t>
  </si>
  <si>
    <t>ANÁLISIS DE COMPARABLES (Comps) — mineras de uranio y tierras raras</t>
  </si>
  <si>
    <t>Cruza WACC (filas) contra el MARGEN EBIT TERMINAL (columnas) — la variable clave de un minero que cruza a rentabilidad. Muestra cuánto vale la empresa según qué tan rentable llegue a ser y a qué tasa se descuente.</t>
  </si>
  <si>
    <t>Ancla UUUU contra mineras similares. Como muchas pierden dinero, el múltiplo relevante es P/VC (precio/valor contable) y EV/ingresos, no P/U. Múltiplos aproximados/editables (azul).</t>
  </si>
  <si>
    <t>WACC \ margen term.</t>
  </si>
  <si>
    <t>Empresa</t>
  </si>
  <si>
    <t>Ticker</t>
  </si>
  <si>
    <t>P/VC</t>
  </si>
  <si>
    <t>EV/Ventas</t>
  </si>
  <si>
    <t>P/NAV</t>
  </si>
  <si>
    <t>Cameco</t>
  </si>
  <si>
    <t>CCJ</t>
  </si>
  <si>
    <t>Líder mundial uranio, rentable. Premium.</t>
  </si>
  <si>
    <t>Denison Mines</t>
  </si>
  <si>
    <t>DNN</t>
  </si>
  <si>
    <t>n/d</t>
  </si>
  <si>
    <t>Uranio junior, pre-producción.</t>
  </si>
  <si>
    <t>Ur-Energy</t>
  </si>
  <si>
    <t>URG</t>
  </si>
  <si>
    <t>Productor ISR pequeño de uranio.</t>
  </si>
  <si>
    <t>MP Materials</t>
  </si>
  <si>
    <t>MP</t>
  </si>
  <si>
    <t>Tierras raras USA (comparable REE).</t>
  </si>
  <si>
    <t>Lynas Rare Earths</t>
  </si>
  <si>
    <t>LYC</t>
  </si>
  <si>
    <t>REE fuera de China (Australia).</t>
  </si>
  <si>
    <t>NexGen Energy</t>
  </si>
  <si>
    <t>NXE</t>
  </si>
  <si>
    <t>Uranio pre-producción (Canadá).</t>
  </si>
  <si>
    <t>MEDIANA</t>
  </si>
  <si>
    <t>VALORACIÓN IMPLÍCITA DE UUUU</t>
  </si>
  <si>
    <t>Método</t>
  </si>
  <si>
    <t>Base UUUU</t>
  </si>
  <si>
    <t>× múltiplo</t>
  </si>
  <si>
    <t>Valor/acción</t>
  </si>
  <si>
    <t>Nota</t>
  </si>
  <si>
    <t>Por P/VC (patrimonio)</t>
  </si>
  <si>
    <t>Patrimonio × P/VC mediana.</t>
  </si>
  <si>
    <t>Por EV/Ventas</t>
  </si>
  <si>
    <t>(Ventas×múlt + securities + caja − deuda)/acciones.</t>
  </si>
  <si>
    <t>Nota: los comps de uranio puro (CCJ, DNN, URG) y de REE (MP, LYC) enmarcan a UUUU, que es híbrido de ambos. El P/VC es el múltiplo más útil aquí porque varias no son rentables. La valoración por comps queda por debajo del precio de mercado, coherente con el DCF y el NAV: UUUU cotiza con prima sobre sus activos y sobre sus pares, reflejando expectativas altas por la transformación a tierras raras. Es la más especulativa de las cuatro empresas.</t>
  </si>
  <si>
    <t>Precio de mercado:</t>
  </si>
  <si>
    <t>Compara cada celda con el precio de $16. Casi ninguna lo alcanza → el DCF operativo no justifica el precio.</t>
  </si>
  <si>
    <t>Lectura: incluso en el escenario más optimista (margen terminal 35%, WACC 8.5%), el valor del NEGOCIO OPERATIVO por DCF queda muy por debajo del precio de mercado de $16. Esto es el hallazgo central: el mercado NO paga por las operaciones proyectadas de uranio, paga por (1) el colchón de ~$878M en securities y (2) la opción de tierras raras que este DCF no captura. Por eso UUUU se valora mejor por NAV/suma de partes. La sensibilidad demuestra que la tesis operativa por sí sola no sostiene el precio — hay que creer en la opción REE.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</si>
</sst>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\$#,##0.00"/>
    <numFmt numFmtId="165" formatCode="\$#,##0.0;&quot;($&quot;#,##0.0\);\-"/>
    <numFmt numFmtId="166" formatCode="#,##0.0"/>
    <numFmt numFmtId="167" formatCode="0.0%"/>
    <numFmt numFmtId="168" formatCode="\$#,##0.0"/>
    <numFmt numFmtId="169" formatCode="0.00\x"/>
    <numFmt numFmtId="170" formatCode="#,##0&quot; d&quot;"/>
    <numFmt numFmtId="171" formatCode="0.0\x"/>
    <numFmt numFmtId="172" formatCode="\$#,##0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>
      <b/>
      <sz val="13.0"/>
      <color rgb="FFFFFFFF"/>
      <name val="Arial"/>
    </font>
    <font/>
    <font>
      <i/>
      <sz val="8.0"/>
      <color rgb="FF808080"/>
      <name val="Arial"/>
    </font>
    <font>
      <b/>
      <sz val="11.0"/>
      <color theme="1"/>
      <name val="Arial"/>
    </font>
    <font>
      <b/>
      <sz val="9.0"/>
      <color rgb="FFFFFFFF"/>
      <name val="Arial"/>
    </font>
    <font>
      <b/>
      <sz val="10.0"/>
      <color theme="1"/>
      <name val="Arial"/>
    </font>
    <font>
      <b/>
      <sz val="10.0"/>
      <color rgb="FF1F3864"/>
      <name val="Arial"/>
    </font>
    <font>
      <sz val="10.0"/>
      <color rgb="FF008000"/>
      <name val="Arial"/>
    </font>
    <font>
      <sz val="10.0"/>
      <color rgb="FF0000FF"/>
      <name val="Arial"/>
    </font>
    <font>
      <sz val="10.0"/>
      <color rgb="FF000000"/>
      <name val="Arial"/>
    </font>
    <font>
      <b/>
      <sz val="10.0"/>
      <color rgb="FF008000"/>
      <name val="Arial"/>
    </font>
    <font>
      <sz val="9.0"/>
      <color rgb="FF404040"/>
      <name val="Arial"/>
    </font>
    <font>
      <b/>
      <sz val="9.0"/>
      <color rgb="FF1F3864"/>
      <name val="Arial"/>
    </font>
    <font>
      <b/>
      <sz val="9.0"/>
      <color theme="1"/>
      <name val="Arial"/>
    </font>
    <font>
      <i/>
      <sz val="8.0"/>
      <color rgb="FFC00000"/>
      <name val="Arial"/>
    </font>
    <font>
      <i/>
      <sz val="8.0"/>
      <color rgb="FF606060"/>
      <name val="Arial"/>
    </font>
    <font>
      <sz val="8.0"/>
      <color rgb="FF606060"/>
      <name val="Arial"/>
    </font>
    <font>
      <i/>
      <sz val="9.0"/>
      <color rgb="FFC00000"/>
      <name val="Arial"/>
    </font>
    <font>
      <b/>
      <sz val="10.0"/>
      <color rgb="FFFFFFFF"/>
      <name val="Arial"/>
    </font>
    <font>
      <sz val="8.0"/>
      <color rgb="FF404040"/>
      <name val="Arial"/>
    </font>
    <font>
      <b/>
      <sz val="12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E5496"/>
        <bgColor rgb="FF2E5496"/>
      </patternFill>
    </fill>
    <fill>
      <patternFill patternType="solid">
        <fgColor rgb="FFC55A11"/>
        <bgColor rgb="FFC55A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shrinkToFit="0" vertical="center" wrapText="1"/>
    </xf>
    <xf borderId="4" fillId="3" fontId="6" numFmtId="0" xfId="0" applyAlignment="1" applyBorder="1" applyFill="1" applyFont="1">
      <alignment shrinkToFit="0" vertical="bottom" wrapText="0"/>
    </xf>
    <xf borderId="5" fillId="4" fontId="7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shrinkToFit="0" vertical="bottom" wrapText="0"/>
    </xf>
    <xf borderId="6" fillId="0" fontId="4" numFmtId="0" xfId="0" applyBorder="1" applyFont="1"/>
    <xf borderId="7" fillId="0" fontId="4" numFmtId="0" xfId="0" applyBorder="1" applyFont="1"/>
    <xf borderId="4" fillId="0" fontId="8" numFmtId="0" xfId="0" applyAlignment="1" applyBorder="1" applyFont="1">
      <alignment horizontal="left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shrinkToFit="0" vertical="bottom" wrapText="0"/>
    </xf>
    <xf borderId="4" fillId="7" fontId="9" numFmtId="0" xfId="0" applyAlignment="1" applyBorder="1" applyFill="1" applyFont="1">
      <alignment horizontal="left" shrinkToFit="0" vertical="center" wrapText="1"/>
    </xf>
    <xf borderId="4" fillId="7" fontId="1" numFmtId="0" xfId="0" applyAlignment="1" applyBorder="1" applyFont="1">
      <alignment shrinkToFit="0" vertical="bottom" wrapText="0"/>
    </xf>
    <xf borderId="4" fillId="0" fontId="10" numFmtId="164" xfId="0" applyAlignment="1" applyBorder="1" applyFont="1" applyNumberFormat="1">
      <alignment horizontal="center" shrinkToFit="0" vertical="center" wrapText="1"/>
    </xf>
    <xf borderId="4" fillId="8" fontId="11" numFmtId="165" xfId="0" applyAlignment="1" applyBorder="1" applyFill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9" fontId="11" numFmtId="165" xfId="0" applyAlignment="1" applyBorder="1" applyFill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0" fontId="10" numFmtId="165" xfId="0" applyAlignment="1" applyBorder="1" applyFont="1" applyNumberFormat="1">
      <alignment horizontal="center" shrinkToFit="0" vertical="center" wrapText="1"/>
    </xf>
    <xf borderId="5" fillId="10" fontId="7" numFmtId="0" xfId="0" applyAlignment="1" applyBorder="1" applyFill="1" applyFont="1">
      <alignment horizontal="center" shrinkToFit="0" vertical="center" wrapText="1"/>
    </xf>
    <xf borderId="4" fillId="8" fontId="12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shrinkToFit="0" vertical="bottom" wrapText="0"/>
    </xf>
    <xf borderId="4" fillId="8" fontId="11" numFmtId="164" xfId="0" applyAlignment="1" applyBorder="1" applyFont="1" applyNumberFormat="1">
      <alignment horizontal="center" shrinkToFit="0" vertical="center" wrapText="1"/>
    </xf>
    <xf borderId="4" fillId="9" fontId="11" numFmtId="164" xfId="0" applyAlignment="1" applyBorder="1" applyFont="1" applyNumberFormat="1">
      <alignment horizontal="center" shrinkToFit="0" vertical="center" wrapText="1"/>
    </xf>
    <xf borderId="4" fillId="9" fontId="11" numFmtId="166" xfId="0" applyAlignment="1" applyBorder="1" applyFont="1" applyNumberFormat="1">
      <alignment horizontal="center" shrinkToFit="0" vertical="center" wrapText="1"/>
    </xf>
    <xf borderId="4" fillId="0" fontId="10" numFmtId="4" xfId="0" applyAlignment="1" applyBorder="1" applyFont="1" applyNumberForma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0" fontId="13" numFmtId="165" xfId="0" applyAlignment="1" applyBorder="1" applyFont="1" applyNumberFormat="1">
      <alignment horizontal="center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4" fillId="0" fontId="12" numFmtId="167" xfId="0" applyAlignment="1" applyBorder="1" applyFont="1" applyNumberFormat="1">
      <alignment horizontal="center" shrinkToFit="0" vertical="center" wrapText="1"/>
    </xf>
    <xf borderId="4" fillId="9" fontId="11" numFmtId="4" xfId="0" applyAlignment="1" applyBorder="1" applyFont="1" applyNumberFormat="1">
      <alignment horizontal="center" shrinkToFit="0" vertical="center" wrapText="1"/>
    </xf>
    <xf borderId="4" fillId="9" fontId="11" numFmtId="167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left" shrinkToFit="0" vertical="bottom" wrapText="1"/>
    </xf>
    <xf borderId="4" fillId="9" fontId="11" numFmtId="2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4" fillId="14" fontId="11" numFmtId="168" xfId="0" applyAlignment="1" applyBorder="1" applyFill="1" applyFont="1" applyNumberFormat="1">
      <alignment horizontal="center" shrinkToFit="0" vertical="center" wrapText="0"/>
    </xf>
    <xf borderId="4" fillId="14" fontId="11" numFmtId="167" xfId="0" applyAlignment="1" applyBorder="1" applyFont="1" applyNumberFormat="1">
      <alignment horizontal="center" shrinkToFit="0" vertical="center" wrapText="0"/>
    </xf>
    <xf borderId="4" fillId="0" fontId="12" numFmtId="165" xfId="0" applyAlignment="1" applyBorder="1" applyFont="1" applyNumberFormat="1">
      <alignment horizontal="center" shrinkToFit="0" vertical="center" wrapText="1"/>
    </xf>
    <xf borderId="4" fillId="0" fontId="12" numFmtId="169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1"/>
    </xf>
    <xf borderId="5" fillId="6" fontId="21" numFmtId="0" xfId="0" applyAlignment="1" applyBorder="1" applyFont="1">
      <alignment horizontal="left" shrinkToFit="0" vertical="center" wrapText="1"/>
    </xf>
    <xf borderId="5" fillId="0" fontId="22" numFmtId="0" xfId="0" applyAlignment="1" applyBorder="1" applyFont="1">
      <alignment horizontal="left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left" shrinkToFit="0" vertical="center" wrapText="1"/>
    </xf>
    <xf borderId="4" fillId="4" fontId="1" numFmtId="0" xfId="0" applyAlignment="1" applyBorder="1" applyFont="1">
      <alignment shrinkToFit="0" vertical="bottom" wrapText="0"/>
    </xf>
    <xf borderId="4" fillId="0" fontId="12" numFmtId="170" xfId="0" applyAlignment="1" applyBorder="1" applyFont="1" applyNumberForma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3" fontId="8" numFmtId="0" xfId="0" applyAlignment="1" applyBorder="1" applyFont="1">
      <alignment horizontal="left" shrinkToFit="0" vertical="center" wrapText="1"/>
    </xf>
    <xf borderId="4" fillId="13" fontId="8" numFmtId="165" xfId="0" applyAlignment="1" applyBorder="1" applyFont="1" applyNumberFormat="1">
      <alignment horizontal="center" shrinkToFit="0" vertical="center" wrapText="1"/>
    </xf>
    <xf borderId="4" fillId="0" fontId="10" numFmtId="10" xfId="0" applyAlignment="1" applyBorder="1" applyFont="1" applyNumberFormat="1">
      <alignment horizontal="center" shrinkToFit="0" vertical="center" wrapText="1"/>
    </xf>
    <xf borderId="4" fillId="0" fontId="10" numFmtId="2" xfId="0" applyAlignment="1" applyBorder="1" applyFont="1" applyNumberFormat="1">
      <alignment horizontal="center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4" fontId="8" numFmtId="165" xfId="0" applyAlignment="1" applyBorder="1" applyFont="1" applyNumberFormat="1">
      <alignment horizontal="center" shrinkToFit="0" vertical="center" wrapText="1"/>
    </xf>
    <xf borderId="4" fillId="0" fontId="10" numFmtId="167" xfId="0" applyAlignment="1" applyBorder="1" applyFont="1" applyNumberFormat="1">
      <alignment horizontal="center" shrinkToFit="0" vertical="center" wrapText="1"/>
    </xf>
    <xf borderId="4" fillId="0" fontId="12" numFmtId="2" xfId="0" applyAlignment="1" applyBorder="1" applyFont="1" applyNumberFormat="1">
      <alignment horizontal="center" shrinkToFit="0" vertical="center" wrapText="1"/>
    </xf>
    <xf borderId="4" fillId="11" fontId="12" numFmtId="10" xfId="0" applyAlignment="1" applyBorder="1" applyFont="1" applyNumberFormat="1">
      <alignment horizontal="center" shrinkToFit="0" vertical="center" wrapText="1"/>
    </xf>
    <xf borderId="4" fillId="14" fontId="8" numFmtId="10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0" numFmtId="165" xfId="0" applyAlignment="1" applyBorder="1" applyFont="1" applyNumberFormat="1">
      <alignment horizontal="center" shrinkToFit="0" vertical="center" wrapText="1"/>
    </xf>
    <xf borderId="4" fillId="4" fontId="12" numFmtId="165" xfId="0" applyAlignment="1" applyBorder="1" applyFont="1" applyNumberFormat="1">
      <alignment horizontal="center" shrinkToFit="0" vertical="center" wrapText="1"/>
    </xf>
    <xf borderId="4" fillId="0" fontId="22" numFmtId="0" xfId="0" applyAlignment="1" applyBorder="1" applyFont="1">
      <alignment horizontal="left" shrinkToFit="0" vertical="center" wrapText="1"/>
    </xf>
    <xf borderId="4" fillId="14" fontId="10" numFmtId="165" xfId="0" applyAlignment="1" applyBorder="1" applyFont="1" applyNumberFormat="1">
      <alignment horizontal="center" shrinkToFit="0" vertical="center" wrapText="1"/>
    </xf>
    <xf borderId="4" fillId="13" fontId="8" numFmtId="164" xfId="0" applyAlignment="1" applyBorder="1" applyFont="1" applyNumberFormat="1">
      <alignment horizontal="center" shrinkToFit="0" vertical="center" wrapText="1"/>
    </xf>
    <xf borderId="4" fillId="14" fontId="8" numFmtId="167" xfId="0" applyAlignment="1" applyBorder="1" applyFont="1" applyNumberFormat="1">
      <alignment horizontal="center" shrinkToFit="0" vertical="center" wrapText="1"/>
    </xf>
    <xf borderId="4" fillId="14" fontId="8" numFmtId="169" xfId="0" applyAlignment="1" applyBorder="1" applyFont="1" applyNumberFormat="1">
      <alignment horizontal="center" shrinkToFit="0" vertical="center" wrapText="1"/>
    </xf>
    <xf borderId="4" fillId="4" fontId="7" numFmtId="167" xfId="0" applyAlignment="1" applyBorder="1" applyFont="1" applyNumberFormat="1">
      <alignment horizontal="center" shrinkToFit="0" vertical="center" wrapText="1"/>
    </xf>
    <xf borderId="4" fillId="4" fontId="7" numFmtId="10" xfId="0" applyAlignment="1" applyBorder="1" applyFont="1" applyNumberFormat="1">
      <alignment horizontal="center" shrinkToFit="0" vertical="center" wrapText="1"/>
    </xf>
    <xf borderId="4" fillId="0" fontId="11" numFmtId="171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2" numFmtId="164" xfId="0" applyAlignment="1" applyBorder="1" applyFont="1" applyNumberFormat="1">
      <alignment horizontal="center" shrinkToFit="0" vertical="center" wrapText="1"/>
    </xf>
    <xf borderId="4" fillId="3" fontId="8" numFmtId="0" xfId="0" applyAlignment="1" applyBorder="1" applyFont="1">
      <alignment shrinkToFit="0" vertical="bottom" wrapText="0"/>
    </xf>
    <xf borderId="4" fillId="3" fontId="8" numFmtId="171" xfId="0" applyAlignment="1" applyBorder="1" applyFont="1" applyNumberFormat="1">
      <alignment horizontal="center" shrinkToFit="0" vertical="center" wrapText="1"/>
    </xf>
    <xf borderId="4" fillId="0" fontId="10" numFmtId="172" xfId="0" applyAlignment="1" applyBorder="1" applyFont="1" applyNumberFormat="1">
      <alignment horizontal="center" shrinkToFit="0" vertical="center" wrapText="1"/>
    </xf>
    <xf borderId="4" fillId="0" fontId="12" numFmtId="171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4" fillId="11" fontId="8" numFmtId="164" xfId="0" applyAlignment="1" applyBorder="1" applyFont="1" applyNumberFormat="1">
      <alignment horizontal="center" shrinkToFit="0" vertical="center" wrapText="1"/>
    </xf>
    <xf borderId="4" fillId="14" fontId="8" numFmtId="164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17.0"/>
    <col customWidth="1" min="4" max="4" width="54.0"/>
    <col customWidth="1" min="5" max="26" width="8.71"/>
  </cols>
  <sheetData>
    <row r="1">
      <c r="A1" s="1"/>
      <c r="B1" s="1"/>
      <c r="C1" s="1"/>
      <c r="D1" s="1"/>
    </row>
    <row r="2" ht="27.75" customHeight="1">
      <c r="A2" s="1"/>
      <c r="B2" s="2" t="s">
        <v>0</v>
      </c>
      <c r="C2" s="4"/>
      <c r="D2" s="5"/>
    </row>
    <row r="3" ht="15.0" customHeight="1">
      <c r="A3" s="1"/>
      <c r="B3" s="6" t="s">
        <v>2</v>
      </c>
    </row>
    <row r="4">
      <c r="A4" s="1"/>
      <c r="B4" s="1"/>
      <c r="C4" s="1"/>
      <c r="D4" s="1"/>
    </row>
    <row r="5" ht="15.0" customHeight="1">
      <c r="A5" s="1"/>
      <c r="B5" s="7" t="s">
        <v>4</v>
      </c>
      <c r="C5" s="9"/>
      <c r="D5" s="9"/>
    </row>
    <row r="6" ht="15.0" customHeight="1">
      <c r="A6" s="1"/>
      <c r="B6" s="12" t="s">
        <v>6</v>
      </c>
      <c r="C6" s="20">
        <f>DATOS!K35</f>
        <v>16.12</v>
      </c>
      <c r="D6" s="22" t="s">
        <v>24</v>
      </c>
    </row>
    <row r="7" ht="15.0" customHeight="1">
      <c r="A7" s="1"/>
      <c r="B7" s="12" t="s">
        <v>25</v>
      </c>
      <c r="C7" s="26">
        <f>DATOS!K35*DATOS!K16</f>
        <v>4158.96</v>
      </c>
      <c r="D7" s="22" t="s">
        <v>33</v>
      </c>
    </row>
    <row r="8" ht="15.0" customHeight="1">
      <c r="A8" s="1"/>
      <c r="B8" s="12" t="s">
        <v>36</v>
      </c>
      <c r="C8" s="26">
        <f>DATOS!K8</f>
        <v>60.9</v>
      </c>
      <c r="D8" s="22" t="s">
        <v>39</v>
      </c>
    </row>
    <row r="9" ht="15.0" customHeight="1">
      <c r="A9" s="1"/>
      <c r="B9" s="12" t="s">
        <v>43</v>
      </c>
      <c r="C9" s="26">
        <f>DATOS!K14</f>
        <v>-44.6</v>
      </c>
      <c r="D9" s="22" t="s">
        <v>51</v>
      </c>
    </row>
    <row r="10" ht="15.0" customHeight="1">
      <c r="A10" s="1"/>
      <c r="B10" s="12" t="s">
        <v>52</v>
      </c>
      <c r="C10" s="26">
        <f>DATOS!I18+DATOS!I19</f>
        <v>936.7</v>
      </c>
      <c r="D10" s="22" t="s">
        <v>57</v>
      </c>
    </row>
    <row r="11" ht="15.0" customHeight="1">
      <c r="A11" s="1"/>
      <c r="B11" s="12" t="s">
        <v>60</v>
      </c>
      <c r="C11" s="26">
        <f>DATOS!I27</f>
        <v>700</v>
      </c>
      <c r="D11" s="22" t="s">
        <v>68</v>
      </c>
    </row>
    <row r="12" ht="15.0" customHeight="1">
      <c r="A12" s="1"/>
      <c r="B12" s="12" t="s">
        <v>69</v>
      </c>
      <c r="C12" s="26">
        <f>DATOS!I30</f>
        <v>996</v>
      </c>
      <c r="D12" s="22" t="s">
        <v>70</v>
      </c>
    </row>
    <row r="13" ht="15.0" customHeight="1">
      <c r="A13" s="1"/>
      <c r="B13" s="12" t="s">
        <v>72</v>
      </c>
      <c r="C13" s="33">
        <f>DATOS!K38</f>
        <v>2.265</v>
      </c>
      <c r="D13" s="22" t="s">
        <v>77</v>
      </c>
    </row>
    <row r="14">
      <c r="A14" s="1"/>
      <c r="B14" s="1"/>
      <c r="C14" s="1"/>
      <c r="D14" s="1"/>
    </row>
    <row r="15" ht="15.0" customHeight="1">
      <c r="A15" s="1"/>
      <c r="B15" s="7" t="s">
        <v>78</v>
      </c>
      <c r="C15" s="9"/>
      <c r="D15" s="9"/>
    </row>
    <row r="16" ht="31.5" customHeight="1">
      <c r="A16" s="1"/>
      <c r="B16" s="12" t="s">
        <v>80</v>
      </c>
      <c r="C16" s="34" t="s">
        <v>82</v>
      </c>
      <c r="D16" s="36" t="s">
        <v>85</v>
      </c>
    </row>
    <row r="17" ht="31.5" customHeight="1">
      <c r="A17" s="1"/>
      <c r="B17" s="12" t="s">
        <v>88</v>
      </c>
      <c r="C17" s="37" t="s">
        <v>90</v>
      </c>
      <c r="D17" s="36" t="s">
        <v>93</v>
      </c>
    </row>
    <row r="18" ht="31.5" customHeight="1">
      <c r="A18" s="1"/>
      <c r="B18" s="12" t="s">
        <v>95</v>
      </c>
      <c r="C18" s="38" t="s">
        <v>96</v>
      </c>
      <c r="D18" s="36" t="s">
        <v>99</v>
      </c>
    </row>
    <row r="19" ht="31.5" customHeight="1">
      <c r="A19" s="1"/>
      <c r="B19" s="12" t="s">
        <v>101</v>
      </c>
      <c r="C19" s="38" t="s">
        <v>103</v>
      </c>
      <c r="D19" s="36" t="s">
        <v>104</v>
      </c>
    </row>
    <row r="20" ht="31.5" customHeight="1">
      <c r="A20" s="1"/>
      <c r="B20" s="12" t="s">
        <v>105</v>
      </c>
      <c r="C20" s="34" t="s">
        <v>106</v>
      </c>
      <c r="D20" s="36" t="s">
        <v>107</v>
      </c>
    </row>
    <row r="21" ht="31.5" customHeight="1">
      <c r="A21" s="1"/>
      <c r="B21" s="12" t="s">
        <v>109</v>
      </c>
      <c r="C21" s="34" t="s">
        <v>110</v>
      </c>
      <c r="D21" s="36" t="s">
        <v>112</v>
      </c>
    </row>
    <row r="22" ht="15.75" customHeight="1">
      <c r="A22" s="1"/>
      <c r="B22" s="1"/>
      <c r="C22" s="1"/>
      <c r="D22" s="1"/>
    </row>
    <row r="23" ht="15.0" customHeight="1">
      <c r="A23" s="1"/>
      <c r="B23" s="7" t="s">
        <v>114</v>
      </c>
      <c r="C23" s="9"/>
      <c r="D23" s="9"/>
    </row>
    <row r="24" ht="27.75" customHeight="1">
      <c r="A24" s="1"/>
      <c r="B24" s="39" t="s">
        <v>116</v>
      </c>
      <c r="C24" s="40" t="s">
        <v>120</v>
      </c>
      <c r="D24" s="36" t="s">
        <v>122</v>
      </c>
    </row>
    <row r="25" ht="27.75" customHeight="1">
      <c r="A25" s="1"/>
      <c r="B25" s="39" t="s">
        <v>124</v>
      </c>
      <c r="C25" s="40" t="s">
        <v>125</v>
      </c>
      <c r="D25" s="36" t="s">
        <v>126</v>
      </c>
    </row>
    <row r="26" ht="27.75" customHeight="1">
      <c r="A26" s="1"/>
      <c r="B26" s="39" t="s">
        <v>127</v>
      </c>
      <c r="C26" s="40" t="s">
        <v>129</v>
      </c>
      <c r="D26" s="36" t="s">
        <v>130</v>
      </c>
    </row>
    <row r="27" ht="15.75" customHeight="1">
      <c r="A27" s="1"/>
      <c r="B27" s="1"/>
      <c r="C27" s="1"/>
      <c r="D27" s="1"/>
    </row>
    <row r="28" ht="15.0" customHeight="1">
      <c r="A28" s="1"/>
      <c r="B28" s="41" t="s">
        <v>133</v>
      </c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8.75" customHeight="1">
      <c r="A61" s="1"/>
      <c r="B61" s="45" t="s">
        <v>157</v>
      </c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mergeCells count="4">
    <mergeCell ref="B2:D2"/>
    <mergeCell ref="B3:D3"/>
    <mergeCell ref="B28:D28"/>
    <mergeCell ref="B61:D6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11" width="11.0"/>
    <col customWidth="1" min="12" max="12" width="44.0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.0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 ht="30.0" customHeight="1">
      <c r="A3" s="1"/>
      <c r="B3" s="6" t="s">
        <v>3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5.0" customHeight="1">
      <c r="A5" s="1"/>
      <c r="B5" s="1"/>
      <c r="C5" s="8" t="s">
        <v>5</v>
      </c>
      <c r="D5" s="10"/>
      <c r="E5" s="11"/>
      <c r="F5" s="13" t="s">
        <v>7</v>
      </c>
      <c r="G5" s="11"/>
      <c r="H5" s="13" t="s">
        <v>8</v>
      </c>
      <c r="I5" s="11"/>
      <c r="J5" s="14" t="s">
        <v>9</v>
      </c>
      <c r="K5" s="11"/>
      <c r="L5" s="1"/>
    </row>
    <row r="6" ht="15.0" customHeight="1">
      <c r="A6" s="1"/>
      <c r="B6" s="15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6" t="s">
        <v>16</v>
      </c>
      <c r="I6" s="16" t="s">
        <v>17</v>
      </c>
      <c r="J6" s="16" t="s">
        <v>18</v>
      </c>
      <c r="K6" s="16" t="s">
        <v>19</v>
      </c>
      <c r="L6" s="17" t="s">
        <v>20</v>
      </c>
    </row>
    <row r="7" ht="15.0" customHeight="1">
      <c r="A7" s="1"/>
      <c r="B7" s="18" t="s">
        <v>21</v>
      </c>
      <c r="C7" s="19"/>
      <c r="D7" s="19"/>
      <c r="E7" s="19"/>
      <c r="F7" s="19"/>
      <c r="G7" s="19"/>
      <c r="H7" s="19"/>
      <c r="I7" s="19"/>
      <c r="J7" s="19"/>
      <c r="K7" s="19"/>
      <c r="L7" s="19"/>
    </row>
    <row r="8" ht="15.0" customHeight="1">
      <c r="A8" s="1"/>
      <c r="B8" s="12" t="s">
        <v>23</v>
      </c>
      <c r="C8" s="21">
        <v>37.9</v>
      </c>
      <c r="D8" s="21">
        <v>78.1</v>
      </c>
      <c r="E8" s="21">
        <v>65.9</v>
      </c>
      <c r="F8" s="23">
        <v>16.9</v>
      </c>
      <c r="G8" s="23">
        <v>35.8</v>
      </c>
      <c r="H8" s="23">
        <v>4.2</v>
      </c>
      <c r="I8" s="23">
        <v>25.1</v>
      </c>
      <c r="J8" s="23">
        <v>21.1</v>
      </c>
      <c r="K8" s="23">
        <v>60.9</v>
      </c>
      <c r="L8" s="22" t="s">
        <v>27</v>
      </c>
    </row>
    <row r="9" ht="15.0" customHeight="1">
      <c r="A9" s="1"/>
      <c r="B9" s="24" t="s">
        <v>29</v>
      </c>
      <c r="C9" s="21">
        <v>18.2</v>
      </c>
      <c r="D9" s="21">
        <v>55.9</v>
      </c>
      <c r="E9" s="21">
        <v>52.2</v>
      </c>
      <c r="F9" s="23">
        <v>18.1</v>
      </c>
      <c r="G9" s="25"/>
      <c r="H9" s="25"/>
      <c r="I9" s="25"/>
      <c r="J9" s="25"/>
      <c r="K9" s="25"/>
      <c r="L9" s="22" t="s">
        <v>31</v>
      </c>
    </row>
    <row r="10" ht="15.0" customHeight="1">
      <c r="A10" s="1"/>
      <c r="B10" s="12" t="s">
        <v>32</v>
      </c>
      <c r="C10" s="21">
        <v>19.75</v>
      </c>
      <c r="D10" s="21">
        <v>22.2</v>
      </c>
      <c r="E10" s="21">
        <v>13.75</v>
      </c>
      <c r="F10" s="23">
        <v>-1.23</v>
      </c>
      <c r="G10" s="25"/>
      <c r="H10" s="25"/>
      <c r="I10" s="25"/>
      <c r="J10" s="25"/>
      <c r="K10" s="25"/>
      <c r="L10" s="22" t="s">
        <v>35</v>
      </c>
    </row>
    <row r="11" ht="15.0" customHeight="1">
      <c r="A11" s="1"/>
      <c r="B11" s="24" t="s">
        <v>37</v>
      </c>
      <c r="C11" s="28"/>
      <c r="D11" s="28"/>
      <c r="E11" s="28"/>
      <c r="F11" s="25"/>
      <c r="G11" s="25"/>
      <c r="H11" s="25"/>
      <c r="I11" s="25"/>
      <c r="J11" s="25"/>
      <c r="K11" s="25"/>
      <c r="L11" s="22" t="s">
        <v>40</v>
      </c>
    </row>
    <row r="12" ht="15.0" customHeight="1">
      <c r="A12" s="1"/>
      <c r="B12" s="12" t="s">
        <v>42</v>
      </c>
      <c r="C12" s="28"/>
      <c r="D12" s="21">
        <v>-52.0</v>
      </c>
      <c r="E12" s="21">
        <v>-70.0</v>
      </c>
      <c r="F12" s="23">
        <v>-25.0</v>
      </c>
      <c r="G12" s="23">
        <v>-15.0</v>
      </c>
      <c r="H12" s="23">
        <v>-26.2</v>
      </c>
      <c r="I12" s="23">
        <v>-30.6</v>
      </c>
      <c r="J12" s="25"/>
      <c r="K12" s="23">
        <v>-45.6</v>
      </c>
      <c r="L12" s="22" t="s">
        <v>48</v>
      </c>
    </row>
    <row r="13" ht="15.0" customHeight="1">
      <c r="A13" s="1"/>
      <c r="B13" s="24" t="s">
        <v>50</v>
      </c>
      <c r="C13" s="21">
        <v>130.0</v>
      </c>
      <c r="D13" s="21">
        <v>4.0</v>
      </c>
      <c r="E13" s="28"/>
      <c r="F13" s="25"/>
      <c r="G13" s="23">
        <v>4.0</v>
      </c>
      <c r="H13" s="23">
        <v>4.4</v>
      </c>
      <c r="I13" s="23">
        <v>-3.0</v>
      </c>
      <c r="J13" s="25"/>
      <c r="K13" s="25"/>
      <c r="L13" s="22" t="s">
        <v>54</v>
      </c>
    </row>
    <row r="14" ht="15.0" customHeight="1">
      <c r="A14" s="1"/>
      <c r="B14" s="12" t="s">
        <v>56</v>
      </c>
      <c r="C14" s="21">
        <v>99.8</v>
      </c>
      <c r="D14" s="21">
        <v>-47.8</v>
      </c>
      <c r="E14" s="21">
        <v>-64.0</v>
      </c>
      <c r="F14" s="23">
        <v>-26.3</v>
      </c>
      <c r="G14" s="23">
        <v>-11.0</v>
      </c>
      <c r="H14" s="23">
        <v>-21.8</v>
      </c>
      <c r="I14" s="23">
        <v>-33.6</v>
      </c>
      <c r="J14" s="23">
        <v>-48.1</v>
      </c>
      <c r="K14" s="23">
        <v>-44.6</v>
      </c>
      <c r="L14" s="22" t="s">
        <v>61</v>
      </c>
    </row>
    <row r="15" ht="15.0" customHeight="1">
      <c r="A15" s="1"/>
      <c r="B15" s="24" t="s">
        <v>63</v>
      </c>
      <c r="C15" s="30">
        <v>0.63</v>
      </c>
      <c r="D15" s="30">
        <v>-0.28</v>
      </c>
      <c r="E15" s="30">
        <v>-0.34</v>
      </c>
      <c r="F15" s="31">
        <v>-0.13</v>
      </c>
      <c r="G15" s="31">
        <v>-0.04</v>
      </c>
      <c r="H15" s="31">
        <v>-0.1</v>
      </c>
      <c r="I15" s="31">
        <v>-0.13</v>
      </c>
      <c r="J15" s="31">
        <v>-0.23</v>
      </c>
      <c r="K15" s="31">
        <v>-0.17</v>
      </c>
      <c r="L15" s="22" t="s">
        <v>71</v>
      </c>
    </row>
    <row r="16" ht="15.0" customHeight="1">
      <c r="A16" s="1"/>
      <c r="B16" s="24" t="s">
        <v>73</v>
      </c>
      <c r="C16" s="28"/>
      <c r="D16" s="28"/>
      <c r="E16" s="28"/>
      <c r="F16" s="25"/>
      <c r="G16" s="25"/>
      <c r="H16" s="25"/>
      <c r="I16" s="25"/>
      <c r="J16" s="25"/>
      <c r="K16" s="32">
        <v>258.0</v>
      </c>
      <c r="L16" s="22" t="s">
        <v>75</v>
      </c>
    </row>
    <row r="17" ht="15.0" customHeight="1">
      <c r="A17" s="1"/>
      <c r="B17" s="18" t="s">
        <v>76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ht="15.0" customHeight="1">
      <c r="A18" s="1"/>
      <c r="B18" s="24" t="s">
        <v>74</v>
      </c>
      <c r="C18" s="28"/>
      <c r="D18" s="28"/>
      <c r="E18" s="21">
        <v>47.0</v>
      </c>
      <c r="F18" s="25"/>
      <c r="G18" s="23">
        <v>108.4</v>
      </c>
      <c r="H18" s="25"/>
      <c r="I18" s="23">
        <v>58.4</v>
      </c>
      <c r="J18" s="25"/>
      <c r="K18" s="25"/>
      <c r="L18" s="22" t="s">
        <v>79</v>
      </c>
    </row>
    <row r="19" ht="15.0" customHeight="1">
      <c r="A19" s="1"/>
      <c r="B19" s="24" t="s">
        <v>81</v>
      </c>
      <c r="C19" s="28"/>
      <c r="D19" s="28"/>
      <c r="E19" s="21">
        <v>812.7</v>
      </c>
      <c r="F19" s="25"/>
      <c r="G19" s="23">
        <v>802.2</v>
      </c>
      <c r="H19" s="25"/>
      <c r="I19" s="23">
        <v>878.3</v>
      </c>
      <c r="J19" s="25"/>
      <c r="K19" s="25"/>
      <c r="L19" s="22" t="s">
        <v>83</v>
      </c>
    </row>
    <row r="20" ht="15.0" customHeight="1">
      <c r="A20" s="1"/>
      <c r="B20" s="24" t="s">
        <v>84</v>
      </c>
      <c r="C20" s="28"/>
      <c r="D20" s="28"/>
      <c r="E20" s="28"/>
      <c r="F20" s="25"/>
      <c r="G20" s="23">
        <v>7.6</v>
      </c>
      <c r="H20" s="25"/>
      <c r="I20" s="23">
        <v>15.1</v>
      </c>
      <c r="J20" s="25"/>
      <c r="K20" s="25"/>
      <c r="L20" s="22" t="s">
        <v>86</v>
      </c>
    </row>
    <row r="21" ht="15.0" customHeight="1">
      <c r="A21" s="1"/>
      <c r="B21" s="24" t="s">
        <v>87</v>
      </c>
      <c r="C21" s="28"/>
      <c r="D21" s="28"/>
      <c r="E21" s="28"/>
      <c r="F21" s="25"/>
      <c r="G21" s="23">
        <v>69.0</v>
      </c>
      <c r="H21" s="25"/>
      <c r="I21" s="23">
        <v>75.0</v>
      </c>
      <c r="J21" s="25"/>
      <c r="K21" s="25"/>
      <c r="L21" s="22" t="s">
        <v>89</v>
      </c>
    </row>
    <row r="22" ht="15.0" customHeight="1">
      <c r="A22" s="1"/>
      <c r="B22" s="24" t="s">
        <v>91</v>
      </c>
      <c r="C22" s="28"/>
      <c r="D22" s="28"/>
      <c r="E22" s="21">
        <v>958.7</v>
      </c>
      <c r="F22" s="25"/>
      <c r="G22" s="25"/>
      <c r="H22" s="25"/>
      <c r="I22" s="23">
        <v>1033.0</v>
      </c>
      <c r="J22" s="25"/>
      <c r="K22" s="25"/>
      <c r="L22" s="22" t="s">
        <v>92</v>
      </c>
    </row>
    <row r="23" ht="15.0" customHeight="1">
      <c r="A23" s="1"/>
      <c r="B23" s="24" t="s">
        <v>94</v>
      </c>
      <c r="C23" s="28"/>
      <c r="D23" s="28"/>
      <c r="E23" s="21">
        <v>69.8</v>
      </c>
      <c r="F23" s="25"/>
      <c r="G23" s="25"/>
      <c r="H23" s="25"/>
      <c r="I23" s="23">
        <v>74.2</v>
      </c>
      <c r="J23" s="25"/>
      <c r="K23" s="25"/>
      <c r="L23" s="22" t="s">
        <v>97</v>
      </c>
    </row>
    <row r="24" ht="15.0" customHeight="1">
      <c r="A24" s="1"/>
      <c r="B24" s="24" t="s">
        <v>98</v>
      </c>
      <c r="C24" s="28"/>
      <c r="D24" s="28"/>
      <c r="E24" s="21">
        <v>312.3</v>
      </c>
      <c r="F24" s="25"/>
      <c r="G24" s="25"/>
      <c r="H24" s="25"/>
      <c r="I24" s="23">
        <v>328.6</v>
      </c>
      <c r="J24" s="25"/>
      <c r="K24" s="25"/>
      <c r="L24" s="22" t="s">
        <v>100</v>
      </c>
    </row>
    <row r="25" ht="15.0" customHeight="1">
      <c r="A25" s="1"/>
      <c r="B25" s="12" t="s">
        <v>102</v>
      </c>
      <c r="C25" s="28"/>
      <c r="D25" s="28"/>
      <c r="E25" s="21">
        <v>1411.9</v>
      </c>
      <c r="F25" s="25"/>
      <c r="G25" s="23">
        <v>1460.0</v>
      </c>
      <c r="H25" s="25"/>
      <c r="I25" s="23">
        <v>1533.2</v>
      </c>
      <c r="J25" s="25"/>
      <c r="K25" s="25"/>
      <c r="L25" s="22" t="s">
        <v>108</v>
      </c>
    </row>
    <row r="26" ht="15.0" customHeight="1">
      <c r="A26" s="1"/>
      <c r="B26" s="24" t="s">
        <v>111</v>
      </c>
      <c r="C26" s="28"/>
      <c r="D26" s="28"/>
      <c r="E26" s="21">
        <v>31.2</v>
      </c>
      <c r="F26" s="25"/>
      <c r="G26" s="25"/>
      <c r="H26" s="25"/>
      <c r="I26" s="23">
        <v>37.0</v>
      </c>
      <c r="J26" s="25"/>
      <c r="K26" s="25"/>
      <c r="L26" s="22" t="s">
        <v>113</v>
      </c>
    </row>
    <row r="27" ht="15.0" customHeight="1">
      <c r="A27" s="1"/>
      <c r="B27" s="24" t="s">
        <v>115</v>
      </c>
      <c r="C27" s="28"/>
      <c r="D27" s="28"/>
      <c r="E27" s="21">
        <v>676.7</v>
      </c>
      <c r="F27" s="25"/>
      <c r="G27" s="23">
        <v>676.7</v>
      </c>
      <c r="H27" s="25"/>
      <c r="I27" s="23">
        <v>700.0</v>
      </c>
      <c r="J27" s="25"/>
      <c r="K27" s="25"/>
      <c r="L27" s="22" t="s">
        <v>117</v>
      </c>
    </row>
    <row r="28" ht="15.0" customHeight="1">
      <c r="A28" s="1"/>
      <c r="B28" s="12" t="s">
        <v>118</v>
      </c>
      <c r="C28" s="28"/>
      <c r="D28" s="28"/>
      <c r="E28" s="21">
        <v>729.3</v>
      </c>
      <c r="F28" s="25"/>
      <c r="G28" s="25"/>
      <c r="H28" s="25"/>
      <c r="I28" s="23">
        <v>736.4</v>
      </c>
      <c r="J28" s="25"/>
      <c r="K28" s="25"/>
      <c r="L28" s="22" t="s">
        <v>121</v>
      </c>
    </row>
    <row r="29" ht="15.0" customHeight="1">
      <c r="A29" s="1"/>
      <c r="B29" s="12" t="s">
        <v>123</v>
      </c>
      <c r="C29" s="28"/>
      <c r="D29" s="28"/>
      <c r="E29" s="21">
        <v>682.6</v>
      </c>
      <c r="F29" s="25"/>
      <c r="G29" s="25"/>
      <c r="H29" s="25"/>
      <c r="I29" s="23">
        <v>796.8</v>
      </c>
      <c r="J29" s="25"/>
      <c r="K29" s="25"/>
      <c r="L29" s="22" t="s">
        <v>128</v>
      </c>
    </row>
    <row r="30" ht="15.0" customHeight="1">
      <c r="A30" s="1"/>
      <c r="B30" s="24" t="s">
        <v>131</v>
      </c>
      <c r="C30" s="28"/>
      <c r="D30" s="28"/>
      <c r="E30" s="21">
        <v>927.4</v>
      </c>
      <c r="F30" s="25"/>
      <c r="G30" s="23">
        <v>956.6</v>
      </c>
      <c r="H30" s="25"/>
      <c r="I30" s="23">
        <v>996.0</v>
      </c>
      <c r="J30" s="25"/>
      <c r="K30" s="25"/>
      <c r="L30" s="22" t="s">
        <v>132</v>
      </c>
    </row>
    <row r="31" ht="15.0" customHeight="1">
      <c r="A31" s="1"/>
      <c r="B31" s="18" t="s">
        <v>134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ht="15.0" customHeight="1">
      <c r="A32" s="1"/>
      <c r="B32" s="24" t="s">
        <v>135</v>
      </c>
      <c r="C32" s="28"/>
      <c r="D32" s="28"/>
      <c r="E32" s="21">
        <v>-60.0</v>
      </c>
      <c r="F32" s="25"/>
      <c r="G32" s="25"/>
      <c r="H32" s="25"/>
      <c r="I32" s="25"/>
      <c r="J32" s="25"/>
      <c r="K32" s="23">
        <v>-50.0</v>
      </c>
      <c r="L32" s="22" t="s">
        <v>136</v>
      </c>
    </row>
    <row r="33" ht="15.0" customHeight="1">
      <c r="A33" s="1"/>
      <c r="B33" s="24" t="s">
        <v>137</v>
      </c>
      <c r="C33" s="28"/>
      <c r="D33" s="28"/>
      <c r="E33" s="28"/>
      <c r="F33" s="25"/>
      <c r="G33" s="25"/>
      <c r="H33" s="25"/>
      <c r="I33" s="25"/>
      <c r="J33" s="25"/>
      <c r="K33" s="23">
        <v>40.0</v>
      </c>
      <c r="L33" s="22" t="s">
        <v>138</v>
      </c>
    </row>
    <row r="34" ht="15.0" customHeight="1">
      <c r="A34" s="1"/>
      <c r="B34" s="18" t="s">
        <v>140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15.0" customHeight="1">
      <c r="A35" s="1"/>
      <c r="B35" s="24" t="s">
        <v>142</v>
      </c>
      <c r="C35" s="28"/>
      <c r="D35" s="28"/>
      <c r="E35" s="28"/>
      <c r="F35" s="25"/>
      <c r="G35" s="25"/>
      <c r="H35" s="25"/>
      <c r="I35" s="25"/>
      <c r="J35" s="25"/>
      <c r="K35" s="31">
        <v>16.12</v>
      </c>
      <c r="L35" s="22" t="s">
        <v>143</v>
      </c>
    </row>
    <row r="36" ht="15.0" customHeight="1">
      <c r="A36" s="1"/>
      <c r="B36" s="24" t="s">
        <v>144</v>
      </c>
      <c r="C36" s="28"/>
      <c r="D36" s="28"/>
      <c r="E36" s="28"/>
      <c r="F36" s="25"/>
      <c r="G36" s="25"/>
      <c r="H36" s="25"/>
      <c r="I36" s="25"/>
      <c r="J36" s="25"/>
      <c r="K36" s="31">
        <v>86.5</v>
      </c>
      <c r="L36" s="22" t="s">
        <v>145</v>
      </c>
    </row>
    <row r="37" ht="15.0" customHeight="1">
      <c r="A37" s="1"/>
      <c r="B37" s="24" t="s">
        <v>146</v>
      </c>
      <c r="C37" s="28"/>
      <c r="D37" s="28"/>
      <c r="E37" s="28"/>
      <c r="F37" s="25"/>
      <c r="G37" s="25"/>
      <c r="H37" s="25"/>
      <c r="I37" s="25"/>
      <c r="J37" s="25"/>
      <c r="K37" s="31">
        <v>97.0</v>
      </c>
      <c r="L37" s="22" t="s">
        <v>147</v>
      </c>
    </row>
    <row r="38" ht="15.0" customHeight="1">
      <c r="A38" s="1"/>
      <c r="B38" s="24" t="s">
        <v>148</v>
      </c>
      <c r="C38" s="28"/>
      <c r="D38" s="28"/>
      <c r="E38" s="28"/>
      <c r="F38" s="25"/>
      <c r="G38" s="25"/>
      <c r="H38" s="25"/>
      <c r="I38" s="25"/>
      <c r="J38" s="25"/>
      <c r="K38" s="43">
        <v>2.265</v>
      </c>
      <c r="L38" s="22" t="s">
        <v>151</v>
      </c>
    </row>
    <row r="39" ht="15.0" customHeight="1">
      <c r="A39" s="1"/>
      <c r="B39" s="24" t="s">
        <v>152</v>
      </c>
      <c r="C39" s="28"/>
      <c r="D39" s="28"/>
      <c r="E39" s="28"/>
      <c r="F39" s="25"/>
      <c r="G39" s="25"/>
      <c r="H39" s="25"/>
      <c r="I39" s="25"/>
      <c r="J39" s="25"/>
      <c r="K39" s="32">
        <v>2.0</v>
      </c>
      <c r="L39" s="22" t="s">
        <v>153</v>
      </c>
    </row>
    <row r="40" ht="15.0" customHeight="1">
      <c r="A40" s="1"/>
      <c r="B40" s="18" t="s">
        <v>154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ht="15.0" customHeight="1">
      <c r="A41" s="1"/>
      <c r="B41" s="24" t="s">
        <v>155</v>
      </c>
      <c r="C41" s="28"/>
      <c r="D41" s="28"/>
      <c r="E41" s="28"/>
      <c r="F41" s="25"/>
      <c r="G41" s="25"/>
      <c r="H41" s="25"/>
      <c r="I41" s="25"/>
      <c r="J41" s="25"/>
      <c r="K41" s="44">
        <v>0.043</v>
      </c>
      <c r="L41" s="22" t="s">
        <v>158</v>
      </c>
    </row>
    <row r="42" ht="15.0" customHeight="1">
      <c r="A42" s="1"/>
      <c r="B42" s="24" t="s">
        <v>159</v>
      </c>
      <c r="C42" s="28"/>
      <c r="D42" s="28"/>
      <c r="E42" s="28"/>
      <c r="F42" s="25"/>
      <c r="G42" s="25"/>
      <c r="H42" s="25"/>
      <c r="I42" s="25"/>
      <c r="J42" s="25"/>
      <c r="K42" s="44">
        <v>0.055</v>
      </c>
      <c r="L42" s="22" t="s">
        <v>160</v>
      </c>
    </row>
    <row r="43" ht="15.0" customHeight="1">
      <c r="A43" s="1"/>
      <c r="B43" s="24" t="s">
        <v>161</v>
      </c>
      <c r="C43" s="28"/>
      <c r="D43" s="28"/>
      <c r="E43" s="28"/>
      <c r="F43" s="25"/>
      <c r="G43" s="25"/>
      <c r="H43" s="25"/>
      <c r="I43" s="25"/>
      <c r="J43" s="25"/>
      <c r="K43" s="46">
        <v>1.2</v>
      </c>
      <c r="L43" s="22" t="s">
        <v>162</v>
      </c>
    </row>
    <row r="44" ht="15.0" customHeight="1">
      <c r="A44" s="1"/>
      <c r="B44" s="24" t="s">
        <v>163</v>
      </c>
      <c r="C44" s="28"/>
      <c r="D44" s="28"/>
      <c r="E44" s="28"/>
      <c r="F44" s="25"/>
      <c r="G44" s="25"/>
      <c r="H44" s="25"/>
      <c r="I44" s="25"/>
      <c r="J44" s="25"/>
      <c r="K44" s="44">
        <v>0.21</v>
      </c>
      <c r="L44" s="22" t="s">
        <v>164</v>
      </c>
    </row>
    <row r="45" ht="15.0" customHeight="1">
      <c r="A45" s="1"/>
      <c r="B45" s="24" t="s">
        <v>165</v>
      </c>
      <c r="C45" s="28"/>
      <c r="D45" s="28"/>
      <c r="E45" s="28"/>
      <c r="F45" s="25"/>
      <c r="G45" s="25"/>
      <c r="H45" s="25"/>
      <c r="I45" s="25"/>
      <c r="J45" s="25"/>
      <c r="K45" s="44">
        <v>0.05</v>
      </c>
      <c r="L45" s="22" t="s">
        <v>166</v>
      </c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5.0" customHeight="1">
      <c r="A47" s="1"/>
      <c r="B47" s="47" t="s">
        <v>167</v>
      </c>
    </row>
    <row r="48" ht="15.0" customHeight="1">
      <c r="A48" s="1"/>
      <c r="B48" s="47" t="s">
        <v>169</v>
      </c>
    </row>
    <row r="49" ht="15.0" customHeight="1">
      <c r="A49" s="1"/>
      <c r="B49" s="47" t="s">
        <v>170</v>
      </c>
    </row>
    <row r="50" ht="15.0" customHeight="1">
      <c r="A50" s="1"/>
      <c r="B50" s="47" t="s">
        <v>172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23.25" customHeight="1">
      <c r="A52" s="1"/>
      <c r="B52" s="18" t="s">
        <v>173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5.0" customHeight="1">
      <c r="A53" s="1"/>
      <c r="B53" s="24" t="s">
        <v>174</v>
      </c>
      <c r="C53" s="1"/>
      <c r="D53" s="1"/>
      <c r="E53" s="1"/>
      <c r="F53" s="1"/>
      <c r="G53" s="1"/>
      <c r="H53" s="1"/>
      <c r="I53" s="1"/>
      <c r="J53" s="1"/>
      <c r="K53" s="48">
        <v>122.0</v>
      </c>
      <c r="L53" s="22" t="s">
        <v>176</v>
      </c>
    </row>
    <row r="54" ht="15.0" customHeight="1">
      <c r="A54" s="1"/>
      <c r="B54" s="24" t="s">
        <v>177</v>
      </c>
      <c r="C54" s="1"/>
      <c r="D54" s="1"/>
      <c r="E54" s="1"/>
      <c r="F54" s="1"/>
      <c r="G54" s="1"/>
      <c r="H54" s="1"/>
      <c r="I54" s="1"/>
      <c r="J54" s="1"/>
      <c r="K54" s="49">
        <v>0.3</v>
      </c>
      <c r="L54" s="22" t="s">
        <v>178</v>
      </c>
    </row>
    <row r="55" ht="15.0" customHeight="1">
      <c r="A55" s="1"/>
      <c r="B55" s="24" t="s">
        <v>179</v>
      </c>
      <c r="C55" s="1"/>
      <c r="D55" s="1"/>
      <c r="E55" s="1"/>
      <c r="F55" s="1"/>
      <c r="G55" s="1"/>
      <c r="H55" s="1"/>
      <c r="I55" s="1"/>
      <c r="J55" s="1"/>
      <c r="K55" s="49">
        <v>0.35</v>
      </c>
      <c r="L55" s="22" t="s">
        <v>180</v>
      </c>
    </row>
    <row r="56" ht="15.0" customHeight="1">
      <c r="A56" s="1"/>
      <c r="B56" s="24" t="s">
        <v>181</v>
      </c>
      <c r="C56" s="1"/>
      <c r="D56" s="1"/>
      <c r="E56" s="1"/>
      <c r="F56" s="1"/>
      <c r="G56" s="1"/>
      <c r="H56" s="1"/>
      <c r="I56" s="1"/>
      <c r="J56" s="1"/>
      <c r="K56" s="49">
        <v>0.3</v>
      </c>
      <c r="L56" s="22"/>
    </row>
    <row r="57" ht="15.0" customHeight="1">
      <c r="A57" s="1"/>
      <c r="B57" s="24" t="s">
        <v>183</v>
      </c>
      <c r="C57" s="1"/>
      <c r="D57" s="1"/>
      <c r="E57" s="1"/>
      <c r="F57" s="1"/>
      <c r="G57" s="1"/>
      <c r="H57" s="1"/>
      <c r="I57" s="1"/>
      <c r="J57" s="1"/>
      <c r="K57" s="49">
        <v>0.2</v>
      </c>
      <c r="L57" s="22" t="s">
        <v>184</v>
      </c>
    </row>
    <row r="58" ht="15.0" customHeight="1">
      <c r="A58" s="1"/>
      <c r="B58" s="24" t="s">
        <v>185</v>
      </c>
      <c r="C58" s="1"/>
      <c r="D58" s="1"/>
      <c r="E58" s="1"/>
      <c r="F58" s="1"/>
      <c r="G58" s="1"/>
      <c r="H58" s="1"/>
      <c r="I58" s="1"/>
      <c r="J58" s="1"/>
      <c r="K58" s="49">
        <v>0.15</v>
      </c>
      <c r="L58" s="22"/>
    </row>
    <row r="59" ht="15.0" customHeight="1">
      <c r="A59" s="1"/>
      <c r="B59" s="24" t="s">
        <v>187</v>
      </c>
      <c r="C59" s="1"/>
      <c r="D59" s="1"/>
      <c r="E59" s="1"/>
      <c r="F59" s="1"/>
      <c r="G59" s="1"/>
      <c r="H59" s="1"/>
      <c r="I59" s="1"/>
      <c r="J59" s="1"/>
      <c r="K59" s="49">
        <v>-0.3</v>
      </c>
      <c r="L59" s="22" t="s">
        <v>188</v>
      </c>
    </row>
    <row r="60" ht="15.0" customHeight="1">
      <c r="A60" s="1"/>
      <c r="B60" s="24" t="s">
        <v>189</v>
      </c>
      <c r="C60" s="1"/>
      <c r="D60" s="1"/>
      <c r="E60" s="1"/>
      <c r="F60" s="1"/>
      <c r="G60" s="1"/>
      <c r="H60" s="1"/>
      <c r="I60" s="1"/>
      <c r="J60" s="1"/>
      <c r="K60" s="49">
        <v>-0.1</v>
      </c>
      <c r="L60" s="22" t="s">
        <v>190</v>
      </c>
    </row>
    <row r="61" ht="15.0" customHeight="1">
      <c r="A61" s="1"/>
      <c r="B61" s="24" t="s">
        <v>191</v>
      </c>
      <c r="C61" s="1"/>
      <c r="D61" s="1"/>
      <c r="E61" s="1"/>
      <c r="F61" s="1"/>
      <c r="G61" s="1"/>
      <c r="H61" s="1"/>
      <c r="I61" s="1"/>
      <c r="J61" s="1"/>
      <c r="K61" s="49">
        <v>0.05</v>
      </c>
      <c r="L61" s="22" t="s">
        <v>198</v>
      </c>
    </row>
    <row r="62" ht="15.0" customHeight="1">
      <c r="A62" s="1"/>
      <c r="B62" s="24" t="s">
        <v>200</v>
      </c>
      <c r="C62" s="1"/>
      <c r="D62" s="1"/>
      <c r="E62" s="1"/>
      <c r="F62" s="1"/>
      <c r="G62" s="1"/>
      <c r="H62" s="1"/>
      <c r="I62" s="1"/>
      <c r="J62" s="1"/>
      <c r="K62" s="49">
        <v>0.15</v>
      </c>
      <c r="L62" s="22" t="s">
        <v>203</v>
      </c>
    </row>
    <row r="63" ht="15.0" customHeight="1">
      <c r="A63" s="1"/>
      <c r="B63" s="24" t="s">
        <v>204</v>
      </c>
      <c r="C63" s="1"/>
      <c r="D63" s="1"/>
      <c r="E63" s="1"/>
      <c r="F63" s="1"/>
      <c r="G63" s="1"/>
      <c r="H63" s="1"/>
      <c r="I63" s="1"/>
      <c r="J63" s="1"/>
      <c r="K63" s="49">
        <v>0.22</v>
      </c>
      <c r="L63" s="22" t="s">
        <v>205</v>
      </c>
    </row>
    <row r="64" ht="15.0" customHeight="1">
      <c r="A64" s="1"/>
      <c r="B64" s="24" t="s">
        <v>206</v>
      </c>
      <c r="C64" s="1"/>
      <c r="D64" s="1"/>
      <c r="E64" s="1"/>
      <c r="F64" s="1"/>
      <c r="G64" s="1"/>
      <c r="H64" s="1"/>
      <c r="I64" s="1"/>
      <c r="J64" s="1"/>
      <c r="K64" s="49">
        <v>0.25</v>
      </c>
      <c r="L64" s="22" t="s">
        <v>207</v>
      </c>
    </row>
    <row r="65" ht="15.0" customHeight="1">
      <c r="A65" s="1"/>
      <c r="B65" s="24" t="s">
        <v>208</v>
      </c>
      <c r="C65" s="1"/>
      <c r="D65" s="1"/>
      <c r="E65" s="1"/>
      <c r="F65" s="1"/>
      <c r="G65" s="1"/>
      <c r="H65" s="1"/>
      <c r="I65" s="1"/>
      <c r="J65" s="1"/>
      <c r="K65" s="49">
        <v>0.08</v>
      </c>
      <c r="L65" s="22" t="s">
        <v>209</v>
      </c>
    </row>
    <row r="66" ht="15.0" customHeight="1">
      <c r="A66" s="1"/>
      <c r="B66" s="24" t="s">
        <v>210</v>
      </c>
      <c r="C66" s="1"/>
      <c r="D66" s="1"/>
      <c r="E66" s="1"/>
      <c r="F66" s="1"/>
      <c r="G66" s="1"/>
      <c r="H66" s="1"/>
      <c r="I66" s="1"/>
      <c r="J66" s="1"/>
      <c r="K66" s="49">
        <v>0.25</v>
      </c>
      <c r="L66" s="22" t="s">
        <v>212</v>
      </c>
    </row>
    <row r="67" ht="15.0" customHeight="1">
      <c r="A67" s="1"/>
      <c r="B67" s="24" t="s">
        <v>213</v>
      </c>
      <c r="C67" s="1"/>
      <c r="D67" s="1"/>
      <c r="E67" s="1"/>
      <c r="F67" s="1"/>
      <c r="G67" s="1"/>
      <c r="H67" s="1"/>
      <c r="I67" s="1"/>
      <c r="J67" s="1"/>
      <c r="K67" s="49">
        <v>0.1</v>
      </c>
      <c r="L67" s="22" t="s">
        <v>214</v>
      </c>
    </row>
    <row r="68" ht="15.0" customHeight="1">
      <c r="A68" s="1"/>
      <c r="B68" s="24" t="s">
        <v>215</v>
      </c>
      <c r="C68" s="1"/>
      <c r="D68" s="1"/>
      <c r="E68" s="1"/>
      <c r="F68" s="1"/>
      <c r="G68" s="1"/>
      <c r="H68" s="1"/>
      <c r="I68" s="1"/>
      <c r="J68" s="1"/>
      <c r="K68" s="49">
        <v>0.04</v>
      </c>
      <c r="L68" s="22" t="s">
        <v>217</v>
      </c>
    </row>
    <row r="69" ht="15.0" customHeight="1">
      <c r="A69" s="1"/>
      <c r="B69" s="24" t="s">
        <v>218</v>
      </c>
      <c r="C69" s="1"/>
      <c r="D69" s="1"/>
      <c r="E69" s="1"/>
      <c r="F69" s="1"/>
      <c r="G69" s="1"/>
      <c r="H69" s="1"/>
      <c r="I69" s="1"/>
      <c r="J69" s="1"/>
      <c r="K69" s="49">
        <v>0.0</v>
      </c>
      <c r="L69" s="22" t="s">
        <v>219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0">
    <mergeCell ref="B48:L48"/>
    <mergeCell ref="B49:L49"/>
    <mergeCell ref="B50:L50"/>
    <mergeCell ref="B2:L2"/>
    <mergeCell ref="B3:L3"/>
    <mergeCell ref="C5:E5"/>
    <mergeCell ref="F5:G5"/>
    <mergeCell ref="H5:I5"/>
    <mergeCell ref="J5:K5"/>
    <mergeCell ref="B47:L4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11" width="11.0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1.75" customHeight="1">
      <c r="A2" s="1"/>
      <c r="B2" s="3" t="s">
        <v>22</v>
      </c>
      <c r="C2" s="4"/>
      <c r="D2" s="4"/>
      <c r="E2" s="4"/>
      <c r="F2" s="4"/>
      <c r="G2" s="4"/>
      <c r="H2" s="4"/>
      <c r="I2" s="4"/>
      <c r="J2" s="4"/>
      <c r="K2" s="5"/>
    </row>
    <row r="3" ht="15.0" customHeight="1">
      <c r="A3" s="1"/>
      <c r="B3" s="6" t="s">
        <v>26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27" t="s">
        <v>30</v>
      </c>
      <c r="D5" s="10"/>
      <c r="E5" s="11"/>
      <c r="F5" s="13" t="s">
        <v>41</v>
      </c>
      <c r="G5" s="10"/>
      <c r="H5" s="11"/>
      <c r="I5" s="13" t="s">
        <v>46</v>
      </c>
      <c r="J5" s="10"/>
      <c r="K5" s="11"/>
    </row>
    <row r="6" ht="15.0" customHeight="1">
      <c r="A6" s="1"/>
      <c r="B6" s="16" t="s">
        <v>10</v>
      </c>
      <c r="C6" s="16" t="s">
        <v>55</v>
      </c>
      <c r="D6" s="16" t="s">
        <v>58</v>
      </c>
      <c r="E6" s="16" t="s">
        <v>59</v>
      </c>
      <c r="F6" s="16" t="s">
        <v>62</v>
      </c>
      <c r="G6" s="16" t="s">
        <v>64</v>
      </c>
      <c r="H6" s="16" t="s">
        <v>65</v>
      </c>
      <c r="I6" s="16" t="s">
        <v>66</v>
      </c>
      <c r="J6" s="16" t="s">
        <v>67</v>
      </c>
      <c r="K6" s="16" t="s">
        <v>65</v>
      </c>
    </row>
    <row r="7" ht="15.0" customHeight="1">
      <c r="A7" s="1"/>
      <c r="B7" s="12" t="s">
        <v>23</v>
      </c>
      <c r="C7" s="35">
        <f>DATOS!C8</f>
        <v>37.9</v>
      </c>
      <c r="D7" s="35">
        <f>DATOS!D8</f>
        <v>78.1</v>
      </c>
      <c r="E7" s="35">
        <f>DATOS!E8</f>
        <v>65.9</v>
      </c>
      <c r="F7" s="35">
        <f>DATOS!F8</f>
        <v>16.9</v>
      </c>
      <c r="G7" s="35">
        <f>DATOS!G8</f>
        <v>35.8</v>
      </c>
      <c r="H7" s="42">
        <f>IFERROR((DATOS!G8-DATOS!F8)/ABS(DATOS!F8),"—")</f>
        <v>1.118343195</v>
      </c>
      <c r="I7" s="35">
        <f>DATOS!H8</f>
        <v>4.2</v>
      </c>
      <c r="J7" s="35">
        <f>DATOS!I8</f>
        <v>25.1</v>
      </c>
      <c r="K7" s="42">
        <f>IFERROR((DATOS!I8-DATOS!H8)/ABS(DATOS!H8),"—")</f>
        <v>4.976190476</v>
      </c>
    </row>
    <row r="8" ht="15.0" customHeight="1">
      <c r="A8" s="1"/>
      <c r="B8" s="24" t="s">
        <v>149</v>
      </c>
      <c r="C8" s="26">
        <f>DATOS!C10</f>
        <v>19.75</v>
      </c>
      <c r="D8" s="26">
        <f>DATOS!D10</f>
        <v>22.2</v>
      </c>
      <c r="E8" s="26">
        <f>DATOS!E10</f>
        <v>13.75</v>
      </c>
      <c r="F8" s="26">
        <f>DATOS!F10</f>
        <v>-1.23</v>
      </c>
      <c r="G8" s="26" t="str">
        <f>DATOS!G10</f>
        <v/>
      </c>
      <c r="H8" s="42">
        <f>IFERROR((DATOS!G10-DATOS!F10)/ABS(DATOS!F10),"—")</f>
        <v>1</v>
      </c>
      <c r="I8" s="26" t="str">
        <f>DATOS!H10</f>
        <v/>
      </c>
      <c r="J8" s="26" t="str">
        <f>DATOS!I10</f>
        <v/>
      </c>
      <c r="K8" s="42" t="str">
        <f>IFERROR((DATOS!I10-DATOS!H10)/ABS(DATOS!H10),"—")</f>
        <v>—</v>
      </c>
    </row>
    <row r="9" ht="15.0" customHeight="1">
      <c r="A9" s="1"/>
      <c r="B9" s="12" t="s">
        <v>168</v>
      </c>
      <c r="C9" s="35" t="str">
        <f>DATOS!C12</f>
        <v/>
      </c>
      <c r="D9" s="35">
        <f>DATOS!D12</f>
        <v>-52</v>
      </c>
      <c r="E9" s="35">
        <f>DATOS!E12</f>
        <v>-70</v>
      </c>
      <c r="F9" s="35">
        <f>DATOS!F12</f>
        <v>-25</v>
      </c>
      <c r="G9" s="35">
        <f>DATOS!G12</f>
        <v>-15</v>
      </c>
      <c r="H9" s="42">
        <f>IFERROR((DATOS!G12-DATOS!F12)/ABS(DATOS!F12),"—")</f>
        <v>0.4</v>
      </c>
      <c r="I9" s="35">
        <f>DATOS!H12</f>
        <v>-26.2</v>
      </c>
      <c r="J9" s="35">
        <f>DATOS!I12</f>
        <v>-30.6</v>
      </c>
      <c r="K9" s="42">
        <f>IFERROR((DATOS!I12-DATOS!H12)/ABS(DATOS!H12),"—")</f>
        <v>-0.1679389313</v>
      </c>
    </row>
    <row r="10" ht="15.0" customHeight="1">
      <c r="A10" s="1"/>
      <c r="B10" s="24" t="s">
        <v>50</v>
      </c>
      <c r="C10" s="26">
        <f>DATOS!C13</f>
        <v>130</v>
      </c>
      <c r="D10" s="26">
        <f>DATOS!D13</f>
        <v>4</v>
      </c>
      <c r="E10" s="26" t="str">
        <f>DATOS!E13</f>
        <v/>
      </c>
      <c r="F10" s="26" t="str">
        <f>DATOS!F13</f>
        <v/>
      </c>
      <c r="G10" s="26">
        <f>DATOS!G13</f>
        <v>4</v>
      </c>
      <c r="H10" s="42" t="str">
        <f>IFERROR((DATOS!G13-DATOS!F13)/ABS(DATOS!F13),"—")</f>
        <v>—</v>
      </c>
      <c r="I10" s="26">
        <f>DATOS!H13</f>
        <v>4.4</v>
      </c>
      <c r="J10" s="26">
        <f>DATOS!I13</f>
        <v>-3</v>
      </c>
      <c r="K10" s="42">
        <f>IFERROR((DATOS!I13-DATOS!H13)/ABS(DATOS!H13),"—")</f>
        <v>-1.681818182</v>
      </c>
    </row>
    <row r="11" ht="15.0" customHeight="1">
      <c r="A11" s="1"/>
      <c r="B11" s="12" t="s">
        <v>56</v>
      </c>
      <c r="C11" s="35">
        <f>DATOS!C14</f>
        <v>99.8</v>
      </c>
      <c r="D11" s="35">
        <f>DATOS!D14</f>
        <v>-47.8</v>
      </c>
      <c r="E11" s="35">
        <f>DATOS!E14</f>
        <v>-64</v>
      </c>
      <c r="F11" s="35">
        <f>DATOS!F14</f>
        <v>-26.3</v>
      </c>
      <c r="G11" s="35">
        <f>DATOS!G14</f>
        <v>-11</v>
      </c>
      <c r="H11" s="42">
        <f>IFERROR((DATOS!G14-DATOS!F14)/ABS(DATOS!F14),"—")</f>
        <v>0.5817490494</v>
      </c>
      <c r="I11" s="35">
        <f>DATOS!H14</f>
        <v>-21.8</v>
      </c>
      <c r="J11" s="35">
        <f>DATOS!I14</f>
        <v>-33.6</v>
      </c>
      <c r="K11" s="42">
        <f>IFERROR((DATOS!I14-DATOS!H14)/ABS(DATOS!H14),"—")</f>
        <v>-0.5412844037</v>
      </c>
    </row>
    <row r="12" ht="15.0" customHeight="1">
      <c r="A12" s="1"/>
      <c r="B12" s="24" t="s">
        <v>202</v>
      </c>
      <c r="C12" s="26">
        <f>DATOS!C15</f>
        <v>0.63</v>
      </c>
      <c r="D12" s="26">
        <f>DATOS!D15</f>
        <v>-0.28</v>
      </c>
      <c r="E12" s="26">
        <f>DATOS!E15</f>
        <v>-0.34</v>
      </c>
      <c r="F12" s="26">
        <f>DATOS!F15</f>
        <v>-0.13</v>
      </c>
      <c r="G12" s="26">
        <f>DATOS!G15</f>
        <v>-0.04</v>
      </c>
      <c r="H12" s="42">
        <f>IFERROR((DATOS!G15-DATOS!F15)/ABS(DATOS!F15),"—")</f>
        <v>0.6923076923</v>
      </c>
      <c r="I12" s="26">
        <f>DATOS!H15</f>
        <v>-0.1</v>
      </c>
      <c r="J12" s="26">
        <f>DATOS!I15</f>
        <v>-0.13</v>
      </c>
      <c r="K12" s="42">
        <f>IFERROR((DATOS!I15-DATOS!H15)/ABS(DATOS!H15),"—")</f>
        <v>-0.3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5.0" customHeight="1">
      <c r="A14" s="1"/>
      <c r="B14" s="53" t="s">
        <v>220</v>
      </c>
      <c r="C14" s="10"/>
      <c r="D14" s="10"/>
      <c r="E14" s="10"/>
      <c r="F14" s="10"/>
      <c r="G14" s="10"/>
      <c r="H14" s="10"/>
      <c r="I14" s="10"/>
      <c r="J14" s="10"/>
      <c r="K14" s="11"/>
    </row>
    <row r="15" ht="15.0" customHeight="1">
      <c r="A15" s="1"/>
      <c r="B15" s="16" t="s">
        <v>10</v>
      </c>
      <c r="C15" s="16" t="s">
        <v>221</v>
      </c>
      <c r="D15" s="16" t="s">
        <v>222</v>
      </c>
      <c r="E15" s="16" t="s">
        <v>65</v>
      </c>
      <c r="F15" s="8" t="s">
        <v>223</v>
      </c>
      <c r="G15" s="10"/>
      <c r="H15" s="10"/>
      <c r="I15" s="10"/>
      <c r="J15" s="10"/>
      <c r="K15" s="11"/>
    </row>
    <row r="16" ht="15.0" customHeight="1">
      <c r="A16" s="1"/>
      <c r="B16" s="12" t="s">
        <v>224</v>
      </c>
      <c r="C16" s="35">
        <f>DATOS!J8</f>
        <v>21.1</v>
      </c>
      <c r="D16" s="35">
        <f>DATOS!K8</f>
        <v>60.9</v>
      </c>
      <c r="E16" s="42">
        <f>IFERROR((DATOS!K8-DATOS!J8)/ABS(DATOS!J8),"—")</f>
        <v>1.886255924</v>
      </c>
      <c r="F16" s="54" t="s">
        <v>225</v>
      </c>
      <c r="G16" s="10"/>
      <c r="H16" s="10"/>
      <c r="I16" s="10"/>
      <c r="J16" s="10"/>
      <c r="K16" s="11"/>
    </row>
    <row r="17" ht="15.0" customHeight="1">
      <c r="A17" s="1"/>
      <c r="B17" s="12" t="s">
        <v>226</v>
      </c>
      <c r="C17" s="35">
        <f>DATOS!J14</f>
        <v>-48.1</v>
      </c>
      <c r="D17" s="35">
        <f>DATOS!K14</f>
        <v>-44.6</v>
      </c>
      <c r="E17" s="42">
        <f>IFERROR((DATOS!K14-DATOS!J14)/ABS(DATOS!J14),"—")</f>
        <v>0.07276507277</v>
      </c>
      <c r="F17" s="54" t="s">
        <v>227</v>
      </c>
      <c r="G17" s="10"/>
      <c r="H17" s="10"/>
      <c r="I17" s="10"/>
      <c r="J17" s="10"/>
      <c r="K17" s="1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48.0" customHeight="1">
      <c r="A19" s="1"/>
      <c r="B19" s="52" t="s">
        <v>228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10">
    <mergeCell ref="F16:K16"/>
    <mergeCell ref="F17:K17"/>
    <mergeCell ref="B19:K19"/>
    <mergeCell ref="B2:K2"/>
    <mergeCell ref="B3:K3"/>
    <mergeCell ref="C5:E5"/>
    <mergeCell ref="F5:H5"/>
    <mergeCell ref="I5:K5"/>
    <mergeCell ref="B14:K14"/>
    <mergeCell ref="F15:K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.0"/>
    <col customWidth="1" min="2" max="2" width="38.0"/>
    <col customWidth="1" min="3" max="5" width="14.0"/>
    <col customWidth="1" min="6" max="6" width="44.0"/>
    <col customWidth="1" min="7" max="26" width="8.71"/>
  </cols>
  <sheetData>
    <row r="1">
      <c r="A1" s="1"/>
      <c r="B1" s="1"/>
      <c r="C1" s="1"/>
      <c r="D1" s="1"/>
      <c r="E1" s="1"/>
      <c r="F1" s="1"/>
    </row>
    <row r="2" ht="21.75" customHeight="1">
      <c r="A2" s="1"/>
      <c r="B2" s="3" t="s">
        <v>28</v>
      </c>
      <c r="C2" s="4"/>
      <c r="D2" s="4"/>
      <c r="E2" s="4"/>
      <c r="F2" s="5"/>
    </row>
    <row r="3" ht="15.0" customHeight="1">
      <c r="A3" s="1"/>
      <c r="B3" s="6" t="s">
        <v>34</v>
      </c>
    </row>
    <row r="4">
      <c r="A4" s="1"/>
      <c r="B4" s="1"/>
      <c r="C4" s="1"/>
      <c r="D4" s="1"/>
      <c r="E4" s="1"/>
      <c r="F4" s="1"/>
    </row>
    <row r="5" ht="15.0" customHeight="1">
      <c r="A5" s="1"/>
      <c r="B5" s="17" t="s">
        <v>38</v>
      </c>
      <c r="C5" s="16" t="s">
        <v>44</v>
      </c>
      <c r="D5" s="16" t="s">
        <v>45</v>
      </c>
      <c r="E5" s="16" t="s">
        <v>47</v>
      </c>
      <c r="F5" s="17" t="s">
        <v>49</v>
      </c>
    </row>
    <row r="6" ht="15.0" customHeight="1">
      <c r="A6" s="1"/>
      <c r="B6" s="29" t="s">
        <v>53</v>
      </c>
      <c r="C6" s="9"/>
      <c r="D6" s="9"/>
      <c r="E6" s="9"/>
      <c r="F6" s="9"/>
    </row>
    <row r="7" ht="15.0" customHeight="1">
      <c r="A7" s="1"/>
      <c r="B7" s="24" t="s">
        <v>74</v>
      </c>
      <c r="C7" s="26">
        <f>DATOS!E18</f>
        <v>47</v>
      </c>
      <c r="D7" s="26">
        <f>DATOS!G18</f>
        <v>108.4</v>
      </c>
      <c r="E7" s="26">
        <f>DATOS!I18</f>
        <v>58.4</v>
      </c>
      <c r="F7" s="22" t="s">
        <v>119</v>
      </c>
    </row>
    <row r="8" ht="15.0" customHeight="1">
      <c r="A8" s="1"/>
      <c r="B8" s="24" t="s">
        <v>81</v>
      </c>
      <c r="C8" s="26">
        <f>DATOS!E19</f>
        <v>812.7</v>
      </c>
      <c r="D8" s="26">
        <f>DATOS!G19</f>
        <v>802.2</v>
      </c>
      <c r="E8" s="26">
        <f>DATOS!I19</f>
        <v>878.3</v>
      </c>
      <c r="F8" s="22" t="s">
        <v>139</v>
      </c>
    </row>
    <row r="9" ht="15.0" customHeight="1">
      <c r="A9" s="1"/>
      <c r="B9" s="24" t="s">
        <v>141</v>
      </c>
      <c r="C9" s="26" t="str">
        <f>DATOS!E20</f>
        <v/>
      </c>
      <c r="D9" s="26">
        <f>DATOS!G20</f>
        <v>7.6</v>
      </c>
      <c r="E9" s="26">
        <f>DATOS!I20</f>
        <v>15.1</v>
      </c>
      <c r="F9" s="22"/>
    </row>
    <row r="10" ht="15.0" customHeight="1">
      <c r="A10" s="1"/>
      <c r="B10" s="24" t="s">
        <v>150</v>
      </c>
      <c r="C10" s="26" t="str">
        <f>DATOS!E21</f>
        <v/>
      </c>
      <c r="D10" s="26">
        <f>DATOS!G21</f>
        <v>69</v>
      </c>
      <c r="E10" s="26">
        <f>DATOS!I21</f>
        <v>75</v>
      </c>
      <c r="F10" s="22" t="s">
        <v>156</v>
      </c>
    </row>
    <row r="11" ht="15.0" customHeight="1">
      <c r="A11" s="1"/>
      <c r="B11" s="12" t="s">
        <v>91</v>
      </c>
      <c r="C11" s="35">
        <f>DATOS!E22</f>
        <v>958.7</v>
      </c>
      <c r="D11" s="35" t="str">
        <f>DATOS!G22</f>
        <v/>
      </c>
      <c r="E11" s="35">
        <f>DATOS!I22</f>
        <v>1033</v>
      </c>
      <c r="F11" s="22"/>
    </row>
    <row r="12" ht="15.0" customHeight="1">
      <c r="A12" s="1"/>
      <c r="B12" s="24" t="s">
        <v>94</v>
      </c>
      <c r="C12" s="26">
        <f>DATOS!E23</f>
        <v>69.8</v>
      </c>
      <c r="D12" s="26" t="str">
        <f>DATOS!G23</f>
        <v/>
      </c>
      <c r="E12" s="26">
        <f>DATOS!I23</f>
        <v>74.2</v>
      </c>
      <c r="F12" s="22" t="s">
        <v>171</v>
      </c>
    </row>
    <row r="13" ht="15.0" customHeight="1">
      <c r="A13" s="1"/>
      <c r="B13" s="24" t="s">
        <v>98</v>
      </c>
      <c r="C13" s="26">
        <f>DATOS!E24</f>
        <v>312.3</v>
      </c>
      <c r="D13" s="26" t="str">
        <f>DATOS!G24</f>
        <v/>
      </c>
      <c r="E13" s="26">
        <f>DATOS!I24</f>
        <v>328.6</v>
      </c>
      <c r="F13" s="22" t="s">
        <v>175</v>
      </c>
    </row>
    <row r="14" ht="15.0" customHeight="1">
      <c r="A14" s="1"/>
      <c r="B14" s="12" t="s">
        <v>102</v>
      </c>
      <c r="C14" s="35">
        <f>DATOS!E25</f>
        <v>1411.9</v>
      </c>
      <c r="D14" s="35">
        <f>DATOS!G25</f>
        <v>1460</v>
      </c>
      <c r="E14" s="35">
        <f>DATOS!I25</f>
        <v>1533.2</v>
      </c>
      <c r="F14" s="22"/>
    </row>
    <row r="15" ht="15.0" customHeight="1">
      <c r="A15" s="1"/>
      <c r="B15" s="29" t="s">
        <v>182</v>
      </c>
      <c r="C15" s="9"/>
      <c r="D15" s="9"/>
      <c r="E15" s="9"/>
      <c r="F15" s="9"/>
    </row>
    <row r="16" ht="15.0" customHeight="1">
      <c r="A16" s="1"/>
      <c r="B16" s="24" t="s">
        <v>186</v>
      </c>
      <c r="C16" s="26">
        <f>DATOS!E26</f>
        <v>31.2</v>
      </c>
      <c r="D16" s="26" t="str">
        <f>DATOS!G26</f>
        <v/>
      </c>
      <c r="E16" s="26">
        <f>DATOS!I26</f>
        <v>37</v>
      </c>
      <c r="F16" s="22"/>
    </row>
    <row r="17" ht="15.0" customHeight="1">
      <c r="A17" s="1"/>
      <c r="B17" s="24" t="s">
        <v>60</v>
      </c>
      <c r="C17" s="26">
        <f>DATOS!E27</f>
        <v>676.7</v>
      </c>
      <c r="D17" s="26">
        <f>DATOS!G27</f>
        <v>676.7</v>
      </c>
      <c r="E17" s="26">
        <f>DATOS!I27</f>
        <v>700</v>
      </c>
      <c r="F17" s="22" t="s">
        <v>192</v>
      </c>
    </row>
    <row r="18" ht="15.0" customHeight="1">
      <c r="A18" s="1"/>
      <c r="B18" s="12" t="s">
        <v>118</v>
      </c>
      <c r="C18" s="35">
        <f>DATOS!E28</f>
        <v>729.3</v>
      </c>
      <c r="D18" s="35" t="str">
        <f>DATOS!G28</f>
        <v/>
      </c>
      <c r="E18" s="35">
        <f>DATOS!I28</f>
        <v>736.4</v>
      </c>
      <c r="F18" s="22"/>
    </row>
    <row r="19" ht="15.0" customHeight="1">
      <c r="A19" s="1"/>
      <c r="B19" s="12" t="s">
        <v>123</v>
      </c>
      <c r="C19" s="35">
        <f>DATOS!E29</f>
        <v>682.6</v>
      </c>
      <c r="D19" s="35" t="str">
        <f>DATOS!G29</f>
        <v/>
      </c>
      <c r="E19" s="35">
        <f>DATOS!I29</f>
        <v>796.8</v>
      </c>
      <c r="F19" s="22" t="s">
        <v>193</v>
      </c>
    </row>
    <row r="20">
      <c r="A20" s="1"/>
      <c r="B20" s="1"/>
      <c r="C20" s="1"/>
      <c r="D20" s="1"/>
      <c r="E20" s="1"/>
      <c r="F20" s="1"/>
    </row>
    <row r="21" ht="15.0" customHeight="1">
      <c r="A21" s="1"/>
      <c r="B21" s="29" t="s">
        <v>194</v>
      </c>
      <c r="C21" s="9"/>
      <c r="D21" s="9"/>
      <c r="E21" s="9"/>
      <c r="F21" s="9"/>
    </row>
    <row r="22" ht="15.0" customHeight="1">
      <c r="A22" s="1"/>
      <c r="B22" s="24" t="s">
        <v>195</v>
      </c>
      <c r="C22" s="50">
        <f>IFERROR(DATOS!E18+DATOS!E19-DATOS!E27,"n/d")</f>
        <v>183</v>
      </c>
      <c r="D22" s="50">
        <f>IFERROR(DATOS!G18+DATOS!G19-DATOS!G27,"n/d")</f>
        <v>233.9</v>
      </c>
      <c r="E22" s="50">
        <f>IFERROR(DATOS!I18+DATOS!I19-DATOS!I27,"n/d")</f>
        <v>236.7</v>
      </c>
      <c r="F22" s="22" t="s">
        <v>196</v>
      </c>
    </row>
    <row r="23" ht="15.0" customHeight="1">
      <c r="A23" s="1"/>
      <c r="B23" s="24" t="s">
        <v>197</v>
      </c>
      <c r="C23" s="51">
        <f>IFERROR(DATOS!E22/DATOS!E26,"n/d")</f>
        <v>30.7275641</v>
      </c>
      <c r="D23" s="51" t="str">
        <f>IFERROR(DATOS!G22/DATOS!G26,"n/d")</f>
        <v>n/d</v>
      </c>
      <c r="E23" s="51">
        <f>IFERROR(DATOS!I22/DATOS!I26,"n/d")</f>
        <v>27.91891892</v>
      </c>
      <c r="F23" s="22" t="s">
        <v>199</v>
      </c>
    </row>
    <row r="24" ht="15.0" customHeight="1">
      <c r="A24" s="1"/>
      <c r="B24" s="24" t="s">
        <v>201</v>
      </c>
      <c r="C24" s="51">
        <f>IFERROR(DATOS!E27/DATOS!E29,"n/d")</f>
        <v>0.9913565778</v>
      </c>
      <c r="D24" s="51" t="str">
        <f>IFERROR(DATOS!G27/DATOS!G29,"n/d")</f>
        <v>n/d</v>
      </c>
      <c r="E24" s="51">
        <f>IFERROR(DATOS!I27/DATOS!I29,"n/d")</f>
        <v>0.8785140562</v>
      </c>
      <c r="F24" s="22" t="s">
        <v>211</v>
      </c>
    </row>
    <row r="25" ht="15.75" customHeight="1">
      <c r="A25" s="1"/>
      <c r="B25" s="1"/>
      <c r="C25" s="1"/>
      <c r="D25" s="1"/>
      <c r="E25" s="1"/>
      <c r="F25" s="1"/>
    </row>
    <row r="26" ht="48.0" customHeight="1">
      <c r="A26" s="1"/>
      <c r="B26" s="52" t="s">
        <v>216</v>
      </c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2:F2"/>
    <mergeCell ref="B3:F3"/>
    <mergeCell ref="B26:F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4.0"/>
    <col customWidth="1" min="3" max="5" width="13.0"/>
    <col customWidth="1" min="6" max="6" width="46.0"/>
    <col customWidth="1" min="7" max="26" width="8.71"/>
  </cols>
  <sheetData>
    <row r="1">
      <c r="A1" s="1"/>
      <c r="B1" s="1"/>
      <c r="C1" s="1"/>
      <c r="D1" s="1"/>
      <c r="E1" s="1"/>
      <c r="F1" s="1"/>
    </row>
    <row r="2" ht="24.0" customHeight="1">
      <c r="A2" s="1"/>
      <c r="B2" s="55" t="s">
        <v>229</v>
      </c>
      <c r="C2" s="4"/>
      <c r="D2" s="4"/>
      <c r="E2" s="4"/>
      <c r="F2" s="5"/>
    </row>
    <row r="3" ht="15.0" customHeight="1">
      <c r="A3" s="1"/>
      <c r="B3" s="6" t="s">
        <v>230</v>
      </c>
    </row>
    <row r="4">
      <c r="A4" s="1"/>
      <c r="B4" s="1"/>
      <c r="C4" s="1"/>
      <c r="D4" s="1"/>
      <c r="E4" s="1"/>
      <c r="F4" s="1"/>
    </row>
    <row r="5" ht="15.0" customHeight="1">
      <c r="A5" s="1"/>
      <c r="B5" s="17" t="s">
        <v>231</v>
      </c>
      <c r="C5" s="16" t="s">
        <v>11</v>
      </c>
      <c r="D5" s="16" t="s">
        <v>12</v>
      </c>
      <c r="E5" s="16" t="s">
        <v>13</v>
      </c>
      <c r="F5" s="17" t="s">
        <v>232</v>
      </c>
    </row>
    <row r="6" ht="15.0" customHeight="1">
      <c r="A6" s="1"/>
      <c r="B6" s="56" t="s">
        <v>233</v>
      </c>
      <c r="C6" s="57"/>
      <c r="D6" s="57"/>
      <c r="E6" s="57"/>
      <c r="F6" s="57"/>
    </row>
    <row r="7" ht="15.0" customHeight="1">
      <c r="A7" s="1"/>
      <c r="B7" s="24" t="s">
        <v>197</v>
      </c>
      <c r="C7" s="51" t="str">
        <f>IFERROR(DATOS!C22/DATOS!C26,"n/d")</f>
        <v>n/d</v>
      </c>
      <c r="D7" s="51" t="str">
        <f>IFERROR(DATOS!D22/DATOS!D26,"n/d")</f>
        <v>n/d</v>
      </c>
      <c r="E7" s="51">
        <f>IFERROR(DATOS!E22/DATOS!E26,"n/d")</f>
        <v>30.7275641</v>
      </c>
      <c r="F7" s="36" t="s">
        <v>234</v>
      </c>
    </row>
    <row r="8" ht="15.0" customHeight="1">
      <c r="A8" s="1"/>
      <c r="B8" s="24" t="s">
        <v>235</v>
      </c>
      <c r="C8" s="50">
        <f>IFERROR(DATOS!C22-DATOS!C26,"n/d")</f>
        <v>0</v>
      </c>
      <c r="D8" s="50">
        <f>IFERROR(DATOS!D22-DATOS!D26,"n/d")</f>
        <v>0</v>
      </c>
      <c r="E8" s="50">
        <f>IFERROR(DATOS!E22-DATOS!E26,"n/d")</f>
        <v>927.5</v>
      </c>
      <c r="F8" s="36" t="s">
        <v>236</v>
      </c>
    </row>
    <row r="9" ht="15.0" customHeight="1">
      <c r="A9" s="1"/>
      <c r="B9" s="56" t="s">
        <v>237</v>
      </c>
      <c r="C9" s="57"/>
      <c r="D9" s="57"/>
      <c r="E9" s="57"/>
      <c r="F9" s="57"/>
    </row>
    <row r="10" ht="15.0" customHeight="1">
      <c r="A10" s="1"/>
      <c r="B10" s="24" t="s">
        <v>238</v>
      </c>
      <c r="C10" s="51" t="str">
        <f>IFERROR(DATOS!C8/DATOS!C25,"n/d")</f>
        <v>n/d</v>
      </c>
      <c r="D10" s="51" t="str">
        <f>IFERROR(DATOS!D8/DATOS!D25,"n/d")</f>
        <v>n/d</v>
      </c>
      <c r="E10" s="51">
        <f>IFERROR(DATOS!E8/DATOS!E25,"n/d")</f>
        <v>0.04667469368</v>
      </c>
      <c r="F10" s="36" t="s">
        <v>239</v>
      </c>
    </row>
    <row r="11" ht="15.0" customHeight="1">
      <c r="A11" s="1"/>
      <c r="B11" s="24" t="s">
        <v>240</v>
      </c>
      <c r="C11" s="58">
        <f>IFERROR(365*DATOS!C21/DATOS!C9,"n/d")</f>
        <v>0</v>
      </c>
      <c r="D11" s="58">
        <f>IFERROR(365*DATOS!D21/DATOS!D9,"n/d")</f>
        <v>0</v>
      </c>
      <c r="E11" s="58">
        <f>IFERROR(365*DATOS!E21/DATOS!E9,"n/d")</f>
        <v>0</v>
      </c>
      <c r="F11" s="36" t="s">
        <v>241</v>
      </c>
    </row>
    <row r="12" ht="15.0" customHeight="1">
      <c r="A12" s="1"/>
      <c r="B12" s="56" t="s">
        <v>242</v>
      </c>
      <c r="C12" s="57"/>
      <c r="D12" s="57"/>
      <c r="E12" s="57"/>
      <c r="F12" s="57"/>
    </row>
    <row r="13" ht="15.0" customHeight="1">
      <c r="A13" s="1"/>
      <c r="B13" s="24" t="s">
        <v>243</v>
      </c>
      <c r="C13" s="42" t="str">
        <f>IFERROR(DATOS!C28/DATOS!C25,"n/d")</f>
        <v>n/d</v>
      </c>
      <c r="D13" s="42" t="str">
        <f>IFERROR(DATOS!D28/DATOS!D25,"n/d")</f>
        <v>n/d</v>
      </c>
      <c r="E13" s="42">
        <f>IFERROR(DATOS!E28/DATOS!E25,"n/d")</f>
        <v>0.5165379984</v>
      </c>
      <c r="F13" s="36" t="s">
        <v>244</v>
      </c>
    </row>
    <row r="14" ht="15.0" customHeight="1">
      <c r="A14" s="1"/>
      <c r="B14" s="24" t="s">
        <v>201</v>
      </c>
      <c r="C14" s="51" t="str">
        <f>IFERROR(DATOS!C27/DATOS!C29,"n/d")</f>
        <v>n/d</v>
      </c>
      <c r="D14" s="51" t="str">
        <f>IFERROR(DATOS!D27/DATOS!D29,"n/d")</f>
        <v>n/d</v>
      </c>
      <c r="E14" s="51">
        <f>IFERROR(DATOS!E27/DATOS!E29,"n/d")</f>
        <v>0.9913565778</v>
      </c>
      <c r="F14" s="36" t="s">
        <v>245</v>
      </c>
    </row>
    <row r="15" ht="15.0" customHeight="1">
      <c r="A15" s="1"/>
      <c r="B15" s="24" t="s">
        <v>246</v>
      </c>
      <c r="C15" s="51" t="str">
        <f>IFERROR((DATOS!C18+DATOS!C19)/DATOS!C27,"n/d")</f>
        <v>n/d</v>
      </c>
      <c r="D15" s="51" t="str">
        <f>IFERROR((DATOS!D18+DATOS!D19)/DATOS!D27,"n/d")</f>
        <v>n/d</v>
      </c>
      <c r="E15" s="51">
        <f>IFERROR((DATOS!E18+DATOS!E19)/DATOS!E27,"n/d")</f>
        <v>1.270430028</v>
      </c>
      <c r="F15" s="36" t="s">
        <v>247</v>
      </c>
    </row>
    <row r="16" ht="23.25" customHeight="1">
      <c r="A16" s="1"/>
      <c r="B16" s="56" t="s">
        <v>248</v>
      </c>
      <c r="C16" s="57"/>
      <c r="D16" s="57"/>
      <c r="E16" s="57"/>
      <c r="F16" s="57"/>
    </row>
    <row r="17" ht="15.0" customHeight="1">
      <c r="A17" s="1"/>
      <c r="B17" s="24" t="s">
        <v>249</v>
      </c>
      <c r="C17" s="42">
        <f>IFERROR(DATOS!C10/DATOS!C8,"n/d")</f>
        <v>0.5211081794</v>
      </c>
      <c r="D17" s="42">
        <f>IFERROR(DATOS!D10/DATOS!D8,"n/d")</f>
        <v>0.2842509603</v>
      </c>
      <c r="E17" s="42">
        <f>IFERROR(DATOS!E10/DATOS!E8,"n/d")</f>
        <v>0.2086494689</v>
      </c>
      <c r="F17" s="36" t="s">
        <v>250</v>
      </c>
    </row>
    <row r="18" ht="15.0" customHeight="1">
      <c r="A18" s="1"/>
      <c r="B18" s="24" t="s">
        <v>251</v>
      </c>
      <c r="C18" s="42">
        <f>IFERROR(DATOS!C14/DATOS!C8,"n/d")</f>
        <v>2.633245383</v>
      </c>
      <c r="D18" s="42">
        <f>IFERROR(DATOS!D14/DATOS!D8,"n/d")</f>
        <v>-0.6120358515</v>
      </c>
      <c r="E18" s="42">
        <f>IFERROR(DATOS!E14/DATOS!E8,"n/d")</f>
        <v>-0.971168437</v>
      </c>
      <c r="F18" s="36" t="s">
        <v>252</v>
      </c>
    </row>
    <row r="19" ht="15.0" customHeight="1">
      <c r="A19" s="1"/>
      <c r="B19" s="24" t="s">
        <v>253</v>
      </c>
      <c r="C19" s="42" t="str">
        <f>IFERROR(DATOS!C14/DATOS!C25,"n/d")</f>
        <v>n/d</v>
      </c>
      <c r="D19" s="42" t="str">
        <f>IFERROR(DATOS!D14/DATOS!D25,"n/d")</f>
        <v>n/d</v>
      </c>
      <c r="E19" s="42">
        <f>IFERROR(DATOS!E14/DATOS!E25,"n/d")</f>
        <v>-0.04532898931</v>
      </c>
      <c r="F19" s="36" t="s">
        <v>254</v>
      </c>
    </row>
    <row r="20" ht="15.0" customHeight="1">
      <c r="A20" s="1"/>
      <c r="B20" s="24" t="s">
        <v>255</v>
      </c>
      <c r="C20" s="42" t="str">
        <f>IFERROR(DATOS!C14/DATOS!C29,"n/d")</f>
        <v>n/d</v>
      </c>
      <c r="D20" s="42" t="str">
        <f>IFERROR(DATOS!D14/DATOS!D29,"n/d")</f>
        <v>n/d</v>
      </c>
      <c r="E20" s="42">
        <f>IFERROR(DATOS!E14/DATOS!E29,"n/d")</f>
        <v>-0.09375915617</v>
      </c>
      <c r="F20" s="36" t="s">
        <v>256</v>
      </c>
    </row>
    <row r="21" ht="15.75" customHeight="1">
      <c r="A21" s="1"/>
      <c r="B21" s="1"/>
      <c r="C21" s="1"/>
      <c r="D21" s="1"/>
      <c r="E21" s="1"/>
      <c r="F21" s="1"/>
    </row>
    <row r="22" ht="55.5" customHeight="1">
      <c r="A22" s="1"/>
      <c r="B22" s="52" t="s">
        <v>257</v>
      </c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2:F2"/>
    <mergeCell ref="B3:F3"/>
    <mergeCell ref="B22:F2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8" width="12.0"/>
    <col customWidth="1" min="9" max="9" width="32.0"/>
    <col customWidth="1" min="10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24.0" customHeight="1">
      <c r="A2" s="1"/>
      <c r="B2" s="55" t="s">
        <v>258</v>
      </c>
      <c r="C2" s="4"/>
      <c r="D2" s="4"/>
      <c r="E2" s="4"/>
      <c r="F2" s="4"/>
      <c r="G2" s="4"/>
      <c r="H2" s="4"/>
      <c r="I2" s="5"/>
    </row>
    <row r="3" ht="27.75" customHeight="1">
      <c r="A3" s="1"/>
      <c r="B3" s="6" t="s">
        <v>259</v>
      </c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 ht="15.0" customHeight="1">
      <c r="A6" s="1"/>
      <c r="B6" s="17" t="s">
        <v>10</v>
      </c>
      <c r="C6" s="16" t="s">
        <v>260</v>
      </c>
      <c r="D6" s="16" t="s">
        <v>261</v>
      </c>
      <c r="E6" s="16" t="s">
        <v>262</v>
      </c>
      <c r="F6" s="16" t="s">
        <v>263</v>
      </c>
      <c r="G6" s="16" t="s">
        <v>264</v>
      </c>
      <c r="H6" s="16" t="s">
        <v>265</v>
      </c>
      <c r="I6" s="17" t="s">
        <v>266</v>
      </c>
    </row>
    <row r="7" ht="15.0" customHeight="1">
      <c r="A7" s="1"/>
      <c r="B7" s="56" t="s">
        <v>267</v>
      </c>
      <c r="C7" s="57"/>
      <c r="D7" s="57"/>
      <c r="E7" s="57"/>
      <c r="F7" s="57"/>
      <c r="G7" s="57"/>
      <c r="H7" s="57"/>
      <c r="I7" s="57"/>
    </row>
    <row r="8" ht="15.0" customHeight="1">
      <c r="A8" s="1"/>
      <c r="B8" s="12" t="s">
        <v>224</v>
      </c>
      <c r="C8" s="59">
        <f>DATOS!$K$53</f>
        <v>122</v>
      </c>
      <c r="D8" s="59">
        <f>C8*(1+DATOS!$K$54)</f>
        <v>158.6</v>
      </c>
      <c r="E8" s="59">
        <f>D8*(1+DATOS!$K$55)</f>
        <v>214.11</v>
      </c>
      <c r="F8" s="59">
        <f>E8*(1+DATOS!$K$56)</f>
        <v>278.343</v>
      </c>
      <c r="G8" s="59">
        <f>F8*(1+DATOS!$K$57)</f>
        <v>334.0116</v>
      </c>
      <c r="H8" s="59">
        <f>G8*(1+DATOS!$K$58)</f>
        <v>384.11334</v>
      </c>
      <c r="I8" s="22" t="s">
        <v>268</v>
      </c>
    </row>
    <row r="9" ht="15.0" customHeight="1">
      <c r="A9" s="1"/>
      <c r="B9" s="24" t="s">
        <v>269</v>
      </c>
      <c r="C9" s="60"/>
      <c r="D9" s="42">
        <f t="shared" ref="D9:H9" si="1">D8/C8-1</f>
        <v>0.3</v>
      </c>
      <c r="E9" s="42">
        <f t="shared" si="1"/>
        <v>0.35</v>
      </c>
      <c r="F9" s="42">
        <f t="shared" si="1"/>
        <v>0.3</v>
      </c>
      <c r="G9" s="42">
        <f t="shared" si="1"/>
        <v>0.2</v>
      </c>
      <c r="H9" s="42">
        <f t="shared" si="1"/>
        <v>0.15</v>
      </c>
      <c r="I9" s="22"/>
    </row>
    <row r="10" ht="18.75" customHeight="1">
      <c r="A10" s="1"/>
      <c r="B10" s="12" t="s">
        <v>270</v>
      </c>
      <c r="C10" s="60"/>
      <c r="D10" s="59">
        <f>D8*DATOS!$K$59</f>
        <v>-47.58</v>
      </c>
      <c r="E10" s="59">
        <f>E8*DATOS!$K$60</f>
        <v>-21.411</v>
      </c>
      <c r="F10" s="59">
        <f>F8*DATOS!$K$61</f>
        <v>13.91715</v>
      </c>
      <c r="G10" s="59">
        <f>G8*DATOS!$K$62</f>
        <v>50.10174</v>
      </c>
      <c r="H10" s="59">
        <f>H8*DATOS!$K$63</f>
        <v>84.5049348</v>
      </c>
      <c r="I10" s="22" t="s">
        <v>271</v>
      </c>
    </row>
    <row r="11" ht="18.75" customHeight="1">
      <c r="A11" s="1"/>
      <c r="B11" s="24" t="s">
        <v>272</v>
      </c>
      <c r="C11" s="60"/>
      <c r="D11" s="42">
        <f>DATOS!$K$59</f>
        <v>-0.3</v>
      </c>
      <c r="E11" s="42">
        <f>DATOS!$K$60</f>
        <v>-0.1</v>
      </c>
      <c r="F11" s="42">
        <f>DATOS!$K$61</f>
        <v>0.05</v>
      </c>
      <c r="G11" s="42">
        <f>DATOS!$K$62</f>
        <v>0.15</v>
      </c>
      <c r="H11" s="42">
        <f>DATOS!$K$63</f>
        <v>0.22</v>
      </c>
      <c r="I11" s="22" t="s">
        <v>273</v>
      </c>
    </row>
    <row r="12" ht="15.0" customHeight="1">
      <c r="A12" s="1"/>
      <c r="B12" s="24" t="s">
        <v>274</v>
      </c>
      <c r="C12" s="60"/>
      <c r="D12" s="50">
        <f>C19*DATOS!$K$68</f>
        <v>35.132</v>
      </c>
      <c r="E12" s="50">
        <f>D19*DATOS!$K$68</f>
        <v>34.5452</v>
      </c>
      <c r="F12" s="50">
        <f>E19*DATOS!$K$68</f>
        <v>33.28225272</v>
      </c>
      <c r="G12" s="50">
        <f>F19*DATOS!$K$68</f>
        <v>32.62408945</v>
      </c>
      <c r="H12" s="50">
        <f>G19*DATOS!$K$68</f>
        <v>32.62408945</v>
      </c>
      <c r="I12" s="22" t="s">
        <v>275</v>
      </c>
    </row>
    <row r="13" ht="15.0" customHeight="1">
      <c r="A13" s="1"/>
      <c r="B13" s="12" t="s">
        <v>276</v>
      </c>
      <c r="C13" s="60"/>
      <c r="D13" s="59">
        <f t="shared" ref="D13:H13" si="2">D10+D12</f>
        <v>-12.448</v>
      </c>
      <c r="E13" s="59">
        <f t="shared" si="2"/>
        <v>13.1342</v>
      </c>
      <c r="F13" s="59">
        <f t="shared" si="2"/>
        <v>47.19940272</v>
      </c>
      <c r="G13" s="59">
        <f t="shared" si="2"/>
        <v>82.72582945</v>
      </c>
      <c r="H13" s="59">
        <f t="shared" si="2"/>
        <v>117.1290242</v>
      </c>
      <c r="I13" s="22"/>
    </row>
    <row r="14" ht="15.0" customHeight="1">
      <c r="A14" s="1"/>
      <c r="B14" s="24" t="s">
        <v>277</v>
      </c>
      <c r="C14" s="60"/>
      <c r="D14" s="50">
        <f>MAX(0,D13)*DATOS!K44</f>
        <v>0</v>
      </c>
      <c r="E14" s="50">
        <f>MAX(0,E13)*DATOS!K44</f>
        <v>2.758182</v>
      </c>
      <c r="F14" s="50">
        <f>MAX(0,F13)*DATOS!K44</f>
        <v>9.911874571</v>
      </c>
      <c r="G14" s="50">
        <f>MAX(0,G13)*DATOS!K44</f>
        <v>17.37242418</v>
      </c>
      <c r="H14" s="50">
        <f>MAX(0,H13)*DATOS!K44</f>
        <v>24.59709509</v>
      </c>
      <c r="I14" s="22" t="s">
        <v>278</v>
      </c>
    </row>
    <row r="15" ht="15.0" customHeight="1">
      <c r="A15" s="1"/>
      <c r="B15" s="61" t="s">
        <v>56</v>
      </c>
      <c r="C15" s="60"/>
      <c r="D15" s="62">
        <f t="shared" ref="D15:H15" si="3">D13-D14</f>
        <v>-12.448</v>
      </c>
      <c r="E15" s="62">
        <f t="shared" si="3"/>
        <v>10.376018</v>
      </c>
      <c r="F15" s="62">
        <f t="shared" si="3"/>
        <v>37.28752815</v>
      </c>
      <c r="G15" s="62">
        <f t="shared" si="3"/>
        <v>65.35340526</v>
      </c>
      <c r="H15" s="62">
        <f t="shared" si="3"/>
        <v>92.53192915</v>
      </c>
      <c r="I15" s="22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 ht="15.0" customHeight="1">
      <c r="A17" s="1"/>
      <c r="B17" s="56" t="s">
        <v>279</v>
      </c>
      <c r="C17" s="57"/>
      <c r="D17" s="57"/>
      <c r="E17" s="57"/>
      <c r="F17" s="57"/>
      <c r="G17" s="57"/>
      <c r="H17" s="57"/>
      <c r="I17" s="57"/>
    </row>
    <row r="18" ht="15.0" customHeight="1">
      <c r="A18" s="1"/>
      <c r="B18" s="24" t="s">
        <v>74</v>
      </c>
      <c r="C18" s="26">
        <f>DATOS!I18</f>
        <v>58.4</v>
      </c>
      <c r="D18" s="50">
        <f t="shared" ref="D18:H18" si="4">D41</f>
        <v>30</v>
      </c>
      <c r="E18" s="50">
        <f t="shared" si="4"/>
        <v>30</v>
      </c>
      <c r="F18" s="50">
        <f t="shared" si="4"/>
        <v>30</v>
      </c>
      <c r="G18" s="50">
        <f t="shared" si="4"/>
        <v>33.00457326</v>
      </c>
      <c r="H18" s="50">
        <f t="shared" si="4"/>
        <v>55.22706062</v>
      </c>
      <c r="I18" s="22" t="s">
        <v>280</v>
      </c>
    </row>
    <row r="19" ht="15.0" customHeight="1">
      <c r="A19" s="1"/>
      <c r="B19" s="24" t="s">
        <v>281</v>
      </c>
      <c r="C19" s="26">
        <f>DATOS!I19</f>
        <v>878.3</v>
      </c>
      <c r="D19" s="50">
        <f>DATOS!I19-(D41-(D40+D39))</f>
        <v>863.63</v>
      </c>
      <c r="E19" s="50">
        <f t="shared" ref="E19:H19" si="5">D19-(E41-(E40+E39))</f>
        <v>832.056318</v>
      </c>
      <c r="F19" s="50">
        <f t="shared" si="5"/>
        <v>815.6022361</v>
      </c>
      <c r="G19" s="50">
        <f t="shared" si="5"/>
        <v>815.6022361</v>
      </c>
      <c r="H19" s="50">
        <f t="shared" si="5"/>
        <v>815.6022361</v>
      </c>
      <c r="I19" s="22" t="s">
        <v>282</v>
      </c>
    </row>
    <row r="20" ht="15.0" customHeight="1">
      <c r="A20" s="1"/>
      <c r="B20" s="24" t="s">
        <v>141</v>
      </c>
      <c r="C20" s="26">
        <f>DATOS!I20</f>
        <v>15.1</v>
      </c>
      <c r="D20" s="50">
        <f>D8*(DATOS!I20/DATOS!$K$53)</f>
        <v>19.63</v>
      </c>
      <c r="E20" s="50">
        <f>E8*(DATOS!I20/DATOS!$K$53)</f>
        <v>26.5005</v>
      </c>
      <c r="F20" s="50">
        <f>F8*(DATOS!I20/DATOS!$K$53)</f>
        <v>34.45065</v>
      </c>
      <c r="G20" s="50">
        <f>G8*(DATOS!I20/DATOS!$K$53)</f>
        <v>41.34078</v>
      </c>
      <c r="H20" s="50">
        <f>H8*(DATOS!I20/DATOS!$K$53)</f>
        <v>47.541897</v>
      </c>
      <c r="I20" s="22" t="s">
        <v>283</v>
      </c>
    </row>
    <row r="21" ht="15.0" customHeight="1">
      <c r="A21" s="1"/>
      <c r="B21" s="24" t="s">
        <v>150</v>
      </c>
      <c r="C21" s="26">
        <f>DATOS!I21</f>
        <v>75</v>
      </c>
      <c r="D21" s="50">
        <f>D8*(DATOS!I21/DATOS!$K$53)</f>
        <v>97.5</v>
      </c>
      <c r="E21" s="50">
        <f>E8*(DATOS!I21/DATOS!$K$53)</f>
        <v>131.625</v>
      </c>
      <c r="F21" s="50">
        <f>F8*(DATOS!I21/DATOS!$K$53)</f>
        <v>171.1125</v>
      </c>
      <c r="G21" s="50">
        <f>G8*(DATOS!I21/DATOS!$K$53)</f>
        <v>205.335</v>
      </c>
      <c r="H21" s="50">
        <f>H8*(DATOS!I21/DATOS!$K$53)</f>
        <v>236.13525</v>
      </c>
      <c r="I21" s="22" t="s">
        <v>214</v>
      </c>
    </row>
    <row r="22" ht="15.0" customHeight="1">
      <c r="A22" s="1"/>
      <c r="B22" s="24" t="s">
        <v>284</v>
      </c>
      <c r="C22" s="26">
        <f>DATOS!I24</f>
        <v>328.6</v>
      </c>
      <c r="D22" s="50">
        <f t="shared" ref="D22:H22" si="6">C22</f>
        <v>328.6</v>
      </c>
      <c r="E22" s="50">
        <f t="shared" si="6"/>
        <v>328.6</v>
      </c>
      <c r="F22" s="50">
        <f t="shared" si="6"/>
        <v>328.6</v>
      </c>
      <c r="G22" s="50">
        <f t="shared" si="6"/>
        <v>328.6</v>
      </c>
      <c r="H22" s="50">
        <f t="shared" si="6"/>
        <v>328.6</v>
      </c>
      <c r="I22" s="22" t="s">
        <v>285</v>
      </c>
    </row>
    <row r="23" ht="15.0" customHeight="1">
      <c r="A23" s="1"/>
      <c r="B23" s="24" t="s">
        <v>94</v>
      </c>
      <c r="C23" s="26">
        <f>DATOS!I23</f>
        <v>74.2</v>
      </c>
      <c r="D23" s="50">
        <f>C23+D8*DATOS!$K$66-D8*DATOS!$K$65</f>
        <v>101.162</v>
      </c>
      <c r="E23" s="50">
        <f>D23+E8*DATOS!$K$66-E8*DATOS!$K$65</f>
        <v>137.5607</v>
      </c>
      <c r="F23" s="50">
        <f>E23+F8*DATOS!$K$66-F8*DATOS!$K$65</f>
        <v>184.87901</v>
      </c>
      <c r="G23" s="50">
        <f>F23+G8*DATOS!$K$66-G8*DATOS!$K$65</f>
        <v>241.660982</v>
      </c>
      <c r="H23" s="50">
        <f>G23+H8*DATOS!$K$66-H8*DATOS!$K$65</f>
        <v>306.9602498</v>
      </c>
      <c r="I23" s="22" t="s">
        <v>286</v>
      </c>
    </row>
    <row r="24" ht="15.0" customHeight="1">
      <c r="A24" s="1"/>
      <c r="B24" s="24" t="s">
        <v>287</v>
      </c>
      <c r="C24" s="26">
        <f>DATOS!I25-DATOS!I18-DATOS!I19-DATOS!I20-DATOS!I21-DATOS!I24-DATOS!I23</f>
        <v>103.6</v>
      </c>
      <c r="D24" s="50">
        <f t="shared" ref="D24:H24" si="7">C24</f>
        <v>103.6</v>
      </c>
      <c r="E24" s="50">
        <f t="shared" si="7"/>
        <v>103.6</v>
      </c>
      <c r="F24" s="50">
        <f t="shared" si="7"/>
        <v>103.6</v>
      </c>
      <c r="G24" s="50">
        <f t="shared" si="7"/>
        <v>103.6</v>
      </c>
      <c r="H24" s="50">
        <f t="shared" si="7"/>
        <v>103.6</v>
      </c>
      <c r="I24" s="22" t="s">
        <v>288</v>
      </c>
    </row>
    <row r="25" ht="15.0" customHeight="1">
      <c r="A25" s="1"/>
      <c r="B25" s="12" t="s">
        <v>102</v>
      </c>
      <c r="C25" s="59">
        <f t="shared" ref="C25:H25" si="8">C18+C19+C20+C21+C22+C23+C24</f>
        <v>1533.2</v>
      </c>
      <c r="D25" s="59">
        <f t="shared" si="8"/>
        <v>1544.122</v>
      </c>
      <c r="E25" s="59">
        <f t="shared" si="8"/>
        <v>1589.942518</v>
      </c>
      <c r="F25" s="59">
        <f t="shared" si="8"/>
        <v>1668.244396</v>
      </c>
      <c r="G25" s="59">
        <f t="shared" si="8"/>
        <v>1769.143571</v>
      </c>
      <c r="H25" s="59">
        <f t="shared" si="8"/>
        <v>1893.666694</v>
      </c>
      <c r="I25" s="22"/>
    </row>
    <row r="26" ht="15.0" customHeight="1">
      <c r="A26" s="1"/>
      <c r="B26" s="24" t="s">
        <v>289</v>
      </c>
      <c r="C26" s="26">
        <f>DATOS!I28-DATOS!I27</f>
        <v>36.4</v>
      </c>
      <c r="D26" s="50">
        <f>D8*((DATOS!I28-DATOS!I27)/DATOS!$K$53)</f>
        <v>47.32</v>
      </c>
      <c r="E26" s="50">
        <f>E8*((DATOS!I28-DATOS!I27)/DATOS!$K$53)</f>
        <v>63.882</v>
      </c>
      <c r="F26" s="50">
        <f>F8*((DATOS!I28-DATOS!I27)/DATOS!$K$53)</f>
        <v>83.0466</v>
      </c>
      <c r="G26" s="50">
        <f>G8*((DATOS!I28-DATOS!I27)/DATOS!$K$53)</f>
        <v>99.65592</v>
      </c>
      <c r="H26" s="50">
        <f>H8*((DATOS!I28-DATOS!I27)/DATOS!$K$53)</f>
        <v>114.604308</v>
      </c>
      <c r="I26" s="22" t="s">
        <v>290</v>
      </c>
    </row>
    <row r="27" ht="15.0" customHeight="1">
      <c r="A27" s="1"/>
      <c r="B27" s="24" t="s">
        <v>291</v>
      </c>
      <c r="C27" s="26">
        <f>DATOS!I27</f>
        <v>700</v>
      </c>
      <c r="D27" s="50">
        <f t="shared" ref="D27:H27" si="9">D25-D26-D29</f>
        <v>712.45</v>
      </c>
      <c r="E27" s="50">
        <f t="shared" si="9"/>
        <v>731.3325</v>
      </c>
      <c r="F27" s="50">
        <f t="shared" si="9"/>
        <v>753.18225</v>
      </c>
      <c r="G27" s="50">
        <f t="shared" si="9"/>
        <v>772.1187</v>
      </c>
      <c r="H27" s="50">
        <f t="shared" si="9"/>
        <v>789.161505</v>
      </c>
      <c r="I27" s="22" t="s">
        <v>293</v>
      </c>
    </row>
    <row r="28" ht="15.0" customHeight="1">
      <c r="A28" s="1"/>
      <c r="B28" s="12" t="s">
        <v>118</v>
      </c>
      <c r="C28" s="59">
        <f t="shared" ref="C28:H28" si="10">C26+C27</f>
        <v>736.4</v>
      </c>
      <c r="D28" s="59">
        <f t="shared" si="10"/>
        <v>759.77</v>
      </c>
      <c r="E28" s="59">
        <f t="shared" si="10"/>
        <v>795.2145</v>
      </c>
      <c r="F28" s="59">
        <f t="shared" si="10"/>
        <v>836.22885</v>
      </c>
      <c r="G28" s="59">
        <f t="shared" si="10"/>
        <v>871.77462</v>
      </c>
      <c r="H28" s="59">
        <f t="shared" si="10"/>
        <v>903.765813</v>
      </c>
      <c r="I28" s="22"/>
    </row>
    <row r="29" ht="15.0" customHeight="1">
      <c r="A29" s="1"/>
      <c r="B29" s="12" t="s">
        <v>297</v>
      </c>
      <c r="C29" s="26">
        <f>DATOS!I29</f>
        <v>796.8</v>
      </c>
      <c r="D29" s="50">
        <f t="shared" ref="D29:H29" si="11">C29+D15</f>
        <v>784.352</v>
      </c>
      <c r="E29" s="50">
        <f t="shared" si="11"/>
        <v>794.728018</v>
      </c>
      <c r="F29" s="50">
        <f t="shared" si="11"/>
        <v>832.0155461</v>
      </c>
      <c r="G29" s="50">
        <f t="shared" si="11"/>
        <v>897.3689514</v>
      </c>
      <c r="H29" s="50">
        <f t="shared" si="11"/>
        <v>989.9008806</v>
      </c>
      <c r="I29" s="22" t="s">
        <v>300</v>
      </c>
    </row>
    <row r="30" ht="15.0" customHeight="1">
      <c r="A30" s="1"/>
      <c r="B30" s="12" t="s">
        <v>301</v>
      </c>
      <c r="C30" s="59">
        <f t="shared" ref="C30:H30" si="12">C28+C29</f>
        <v>1533.2</v>
      </c>
      <c r="D30" s="59">
        <f t="shared" si="12"/>
        <v>1544.122</v>
      </c>
      <c r="E30" s="59">
        <f t="shared" si="12"/>
        <v>1589.942518</v>
      </c>
      <c r="F30" s="59">
        <f t="shared" si="12"/>
        <v>1668.244396</v>
      </c>
      <c r="G30" s="59">
        <f t="shared" si="12"/>
        <v>1769.143571</v>
      </c>
      <c r="H30" s="59">
        <f t="shared" si="12"/>
        <v>1893.666694</v>
      </c>
      <c r="I30" s="22"/>
    </row>
    <row r="31" ht="15.0" customHeight="1">
      <c r="A31" s="1"/>
      <c r="B31" s="65" t="s">
        <v>305</v>
      </c>
      <c r="C31" s="66">
        <f t="shared" ref="C31:H31" si="13">C25-C30</f>
        <v>0</v>
      </c>
      <c r="D31" s="66">
        <f t="shared" si="13"/>
        <v>0</v>
      </c>
      <c r="E31" s="66">
        <f t="shared" si="13"/>
        <v>0</v>
      </c>
      <c r="F31" s="66">
        <f t="shared" si="13"/>
        <v>0</v>
      </c>
      <c r="G31" s="66">
        <f t="shared" si="13"/>
        <v>0</v>
      </c>
      <c r="H31" s="66">
        <f t="shared" si="13"/>
        <v>0</v>
      </c>
      <c r="I31" s="22" t="s">
        <v>310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0" customHeight="1">
      <c r="A33" s="1"/>
      <c r="B33" s="56" t="s">
        <v>311</v>
      </c>
      <c r="C33" s="57"/>
      <c r="D33" s="57"/>
      <c r="E33" s="57"/>
      <c r="F33" s="57"/>
      <c r="G33" s="57"/>
      <c r="H33" s="57"/>
      <c r="I33" s="57"/>
    </row>
    <row r="34" ht="15.0" customHeight="1">
      <c r="A34" s="1"/>
      <c r="B34" s="24" t="s">
        <v>313</v>
      </c>
      <c r="C34" s="60"/>
      <c r="D34" s="50">
        <f t="shared" ref="D34:H34" si="14">D15</f>
        <v>-12.448</v>
      </c>
      <c r="E34" s="50">
        <f t="shared" si="14"/>
        <v>10.376018</v>
      </c>
      <c r="F34" s="50">
        <f t="shared" si="14"/>
        <v>37.28752815</v>
      </c>
      <c r="G34" s="50">
        <f t="shared" si="14"/>
        <v>65.35340526</v>
      </c>
      <c r="H34" s="50">
        <f t="shared" si="14"/>
        <v>92.53192915</v>
      </c>
      <c r="I34" s="22" t="s">
        <v>315</v>
      </c>
    </row>
    <row r="35" ht="15.0" customHeight="1">
      <c r="A35" s="1"/>
      <c r="B35" s="24" t="s">
        <v>317</v>
      </c>
      <c r="C35" s="60"/>
      <c r="D35" s="50">
        <f>D8*DATOS!$K$65</f>
        <v>12.688</v>
      </c>
      <c r="E35" s="50">
        <f>E8*DATOS!$K$65</f>
        <v>17.1288</v>
      </c>
      <c r="F35" s="50">
        <f>F8*DATOS!$K$65</f>
        <v>22.26744</v>
      </c>
      <c r="G35" s="50">
        <f>G8*DATOS!$K$65</f>
        <v>26.720928</v>
      </c>
      <c r="H35" s="50">
        <f>H8*DATOS!$K$65</f>
        <v>30.7290672</v>
      </c>
      <c r="I35" s="22" t="s">
        <v>322</v>
      </c>
    </row>
    <row r="36" ht="15.0" customHeight="1">
      <c r="A36" s="1"/>
      <c r="B36" s="24" t="s">
        <v>323</v>
      </c>
      <c r="C36" s="60"/>
      <c r="D36" s="50">
        <f>-(D8-C8)*DATOS!$K$67</f>
        <v>-3.66</v>
      </c>
      <c r="E36" s="50">
        <f>-(E8-D8)*DATOS!$K$67</f>
        <v>-5.551</v>
      </c>
      <c r="F36" s="50">
        <f>-(F8-E8)*DATOS!$K$67</f>
        <v>-6.4233</v>
      </c>
      <c r="G36" s="50">
        <f>-(G8-F8)*DATOS!$K$67</f>
        <v>-5.56686</v>
      </c>
      <c r="H36" s="50">
        <f>-(H8-G8)*DATOS!$K$67</f>
        <v>-5.010174</v>
      </c>
      <c r="I36" s="22" t="s">
        <v>330</v>
      </c>
    </row>
    <row r="37" ht="15.0" customHeight="1">
      <c r="A37" s="1"/>
      <c r="B37" s="12" t="s">
        <v>135</v>
      </c>
      <c r="C37" s="60"/>
      <c r="D37" s="59">
        <f t="shared" ref="D37:H37" si="15">D34+D35+D36</f>
        <v>-3.42</v>
      </c>
      <c r="E37" s="59">
        <f t="shared" si="15"/>
        <v>21.953818</v>
      </c>
      <c r="F37" s="59">
        <f t="shared" si="15"/>
        <v>53.13166815</v>
      </c>
      <c r="G37" s="59">
        <f t="shared" si="15"/>
        <v>86.50747326</v>
      </c>
      <c r="H37" s="59">
        <f t="shared" si="15"/>
        <v>118.2508224</v>
      </c>
      <c r="I37" s="22"/>
    </row>
    <row r="38" ht="15.0" customHeight="1">
      <c r="A38" s="1"/>
      <c r="B38" s="24" t="s">
        <v>333</v>
      </c>
      <c r="C38" s="60"/>
      <c r="D38" s="50">
        <f>-D8*DATOS!$K$66</f>
        <v>-39.65</v>
      </c>
      <c r="E38" s="50">
        <f>-E8*DATOS!$K$66</f>
        <v>-53.5275</v>
      </c>
      <c r="F38" s="50">
        <f>-F8*DATOS!$K$66</f>
        <v>-69.58575</v>
      </c>
      <c r="G38" s="50">
        <f>-G8*DATOS!$K$66</f>
        <v>-83.5029</v>
      </c>
      <c r="H38" s="50">
        <f>-H8*DATOS!$K$66</f>
        <v>-96.028335</v>
      </c>
      <c r="I38" s="22" t="s">
        <v>334</v>
      </c>
    </row>
    <row r="39" ht="18.75" customHeight="1">
      <c r="A39" s="1"/>
      <c r="B39" s="61" t="s">
        <v>335</v>
      </c>
      <c r="C39" s="60"/>
      <c r="D39" s="62">
        <f t="shared" ref="D39:H39" si="16">D37+D38</f>
        <v>-43.07</v>
      </c>
      <c r="E39" s="62">
        <f t="shared" si="16"/>
        <v>-31.573682</v>
      </c>
      <c r="F39" s="62">
        <f t="shared" si="16"/>
        <v>-16.45408185</v>
      </c>
      <c r="G39" s="62">
        <f t="shared" si="16"/>
        <v>3.004573262</v>
      </c>
      <c r="H39" s="62">
        <f t="shared" si="16"/>
        <v>22.22248735</v>
      </c>
      <c r="I39" s="22" t="s">
        <v>336</v>
      </c>
    </row>
    <row r="40" ht="15.0" customHeight="1">
      <c r="A40" s="1"/>
      <c r="B40" s="24" t="s">
        <v>337</v>
      </c>
      <c r="C40" s="60"/>
      <c r="D40" s="50">
        <f>DATOS!I18</f>
        <v>58.4</v>
      </c>
      <c r="E40" s="50">
        <f t="shared" ref="E40:H40" si="17">D41</f>
        <v>30</v>
      </c>
      <c r="F40" s="50">
        <f t="shared" si="17"/>
        <v>30</v>
      </c>
      <c r="G40" s="50">
        <f t="shared" si="17"/>
        <v>30</v>
      </c>
      <c r="H40" s="50">
        <f t="shared" si="17"/>
        <v>33.00457326</v>
      </c>
      <c r="I40" s="22"/>
    </row>
    <row r="41" ht="18.75" customHeight="1">
      <c r="A41" s="1"/>
      <c r="B41" s="61" t="s">
        <v>338</v>
      </c>
      <c r="C41" s="60"/>
      <c r="D41" s="62">
        <f t="shared" ref="D41:H41" si="18">MAX(30,D40+D39)</f>
        <v>30</v>
      </c>
      <c r="E41" s="62">
        <f t="shared" si="18"/>
        <v>30</v>
      </c>
      <c r="F41" s="62">
        <f t="shared" si="18"/>
        <v>30</v>
      </c>
      <c r="G41" s="62">
        <f t="shared" si="18"/>
        <v>33.00457326</v>
      </c>
      <c r="H41" s="62">
        <f t="shared" si="18"/>
        <v>55.22706062</v>
      </c>
      <c r="I41" s="22" t="s">
        <v>342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57.75" customHeight="1">
      <c r="A43" s="1"/>
      <c r="B43" s="52" t="s">
        <v>343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3">
    <mergeCell ref="B2:I2"/>
    <mergeCell ref="B3:I3"/>
    <mergeCell ref="B43:I4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4" width="15.0"/>
    <col customWidth="1" min="5" max="5" width="46.0"/>
    <col customWidth="1" min="6" max="26" width="8.71"/>
  </cols>
  <sheetData>
    <row r="1">
      <c r="A1" s="1"/>
      <c r="B1" s="1"/>
      <c r="C1" s="1"/>
      <c r="D1" s="1"/>
      <c r="E1" s="1"/>
    </row>
    <row r="2" ht="24.0" customHeight="1">
      <c r="A2" s="1"/>
      <c r="B2" s="3" t="s">
        <v>292</v>
      </c>
      <c r="C2" s="4"/>
      <c r="D2" s="4"/>
      <c r="E2" s="5"/>
    </row>
    <row r="3" ht="15.0" customHeight="1">
      <c r="A3" s="1"/>
      <c r="B3" s="6" t="s">
        <v>294</v>
      </c>
    </row>
    <row r="4">
      <c r="A4" s="1"/>
      <c r="B4" s="1"/>
      <c r="C4" s="1"/>
      <c r="D4" s="1"/>
      <c r="E4" s="1"/>
    </row>
    <row r="5" ht="15.0" customHeight="1">
      <c r="A5" s="1"/>
      <c r="B5" s="56" t="s">
        <v>295</v>
      </c>
      <c r="C5" s="57"/>
      <c r="D5" s="57"/>
      <c r="E5" s="57"/>
    </row>
    <row r="6" ht="15.0" customHeight="1">
      <c r="A6" s="1"/>
      <c r="B6" s="24" t="s">
        <v>296</v>
      </c>
      <c r="C6" s="63">
        <f>DATOS!K41</f>
        <v>0.043</v>
      </c>
      <c r="D6" s="60"/>
      <c r="E6" s="22" t="s">
        <v>298</v>
      </c>
    </row>
    <row r="7" ht="15.0" customHeight="1">
      <c r="A7" s="1"/>
      <c r="B7" s="24" t="s">
        <v>299</v>
      </c>
      <c r="C7" s="63">
        <f>DATOS!K42</f>
        <v>0.055</v>
      </c>
      <c r="D7" s="60"/>
      <c r="E7" s="22" t="s">
        <v>298</v>
      </c>
    </row>
    <row r="8" ht="15.0" customHeight="1">
      <c r="A8" s="1"/>
      <c r="B8" s="24" t="s">
        <v>302</v>
      </c>
      <c r="C8" s="64">
        <f>DATOS!K43</f>
        <v>1.2</v>
      </c>
      <c r="D8" s="60"/>
      <c r="E8" s="22" t="s">
        <v>303</v>
      </c>
    </row>
    <row r="9" ht="15.0" customHeight="1">
      <c r="A9" s="1"/>
      <c r="B9" s="24" t="s">
        <v>304</v>
      </c>
      <c r="C9" s="50">
        <f>DATOS!K35*DATOS!K16</f>
        <v>4158.96</v>
      </c>
      <c r="D9" s="60"/>
      <c r="E9" s="22" t="s">
        <v>306</v>
      </c>
    </row>
    <row r="10" ht="15.0" customHeight="1">
      <c r="A10" s="1"/>
      <c r="B10" s="24" t="s">
        <v>307</v>
      </c>
      <c r="C10" s="26">
        <f>DATOS!I27</f>
        <v>700</v>
      </c>
      <c r="D10" s="60"/>
      <c r="E10" s="22" t="s">
        <v>308</v>
      </c>
    </row>
    <row r="11" ht="15.0" customHeight="1">
      <c r="A11" s="1"/>
      <c r="B11" s="24" t="s">
        <v>309</v>
      </c>
      <c r="C11" s="42">
        <f>C10/(C10+C9)</f>
        <v>0.1440637503</v>
      </c>
      <c r="D11" s="60"/>
      <c r="E11" s="22"/>
    </row>
    <row r="12" ht="15.0" customHeight="1">
      <c r="A12" s="1"/>
      <c r="B12" s="24" t="s">
        <v>312</v>
      </c>
      <c r="C12" s="42">
        <f>C9/(C10+C9)</f>
        <v>0.8559362497</v>
      </c>
      <c r="D12" s="60"/>
      <c r="E12" s="22"/>
    </row>
    <row r="13" ht="15.0" customHeight="1">
      <c r="A13" s="1"/>
      <c r="B13" s="24" t="s">
        <v>314</v>
      </c>
      <c r="C13" s="67">
        <f>DATOS!K44</f>
        <v>0.21</v>
      </c>
      <c r="D13" s="60"/>
      <c r="E13" s="22"/>
    </row>
    <row r="14" ht="15.0" customHeight="1">
      <c r="A14" s="1"/>
      <c r="B14" s="24" t="s">
        <v>316</v>
      </c>
      <c r="C14" s="68">
        <f>C8*(1+(1-C13)*C10/C9)</f>
        <v>1.359559121</v>
      </c>
      <c r="D14" s="60"/>
      <c r="E14" s="22" t="s">
        <v>318</v>
      </c>
    </row>
    <row r="15" ht="15.0" customHeight="1">
      <c r="A15" s="1"/>
      <c r="B15" s="24" t="s">
        <v>319</v>
      </c>
      <c r="C15" s="69">
        <f>C6+C14*C7</f>
        <v>0.1177757516</v>
      </c>
      <c r="D15" s="60"/>
      <c r="E15" s="22" t="s">
        <v>320</v>
      </c>
    </row>
    <row r="16" ht="15.0" customHeight="1">
      <c r="A16" s="1"/>
      <c r="B16" s="24" t="s">
        <v>321</v>
      </c>
      <c r="C16" s="63">
        <f>DATOS!K45</f>
        <v>0.05</v>
      </c>
      <c r="D16" s="60"/>
      <c r="E16" s="22"/>
    </row>
    <row r="17" ht="15.0" customHeight="1">
      <c r="A17" s="1"/>
      <c r="B17" s="12" t="s">
        <v>324</v>
      </c>
      <c r="C17" s="70">
        <f>C12*C15+C11*C16*(1-C13)</f>
        <v>0.1064990533</v>
      </c>
      <c r="D17" s="60"/>
      <c r="E17" s="22" t="s">
        <v>325</v>
      </c>
    </row>
    <row r="18">
      <c r="A18" s="1"/>
      <c r="B18" s="1"/>
      <c r="C18" s="1"/>
      <c r="D18" s="1"/>
      <c r="E18" s="1"/>
    </row>
    <row r="19" ht="15.0" customHeight="1">
      <c r="A19" s="1"/>
      <c r="B19" s="56" t="s">
        <v>326</v>
      </c>
      <c r="C19" s="57"/>
      <c r="D19" s="57"/>
      <c r="E19" s="57"/>
    </row>
    <row r="20" ht="18.75" customHeight="1">
      <c r="A20" s="1"/>
      <c r="B20" s="6" t="s">
        <v>327</v>
      </c>
    </row>
    <row r="21" ht="15.0" customHeight="1">
      <c r="A21" s="1"/>
      <c r="B21" s="71" t="s">
        <v>328</v>
      </c>
      <c r="C21" s="71" t="s">
        <v>329</v>
      </c>
      <c r="D21" s="71" t="s">
        <v>331</v>
      </c>
      <c r="E21" s="72" t="s">
        <v>332</v>
      </c>
    </row>
    <row r="22" ht="15.0" customHeight="1">
      <c r="A22" s="1"/>
      <c r="B22" s="73">
        <v>1.0</v>
      </c>
      <c r="C22" s="26">
        <f>Proyecciones!D39</f>
        <v>-43.07</v>
      </c>
      <c r="D22" s="50">
        <f>C22/(1+C17)^1</f>
        <v>-38.92457013</v>
      </c>
      <c r="E22" s="60"/>
    </row>
    <row r="23" ht="23.25" customHeight="1">
      <c r="A23" s="1"/>
      <c r="B23" s="74">
        <v>2.0</v>
      </c>
      <c r="C23" s="75">
        <f>Proyecciones!E39</f>
        <v>-31.573682</v>
      </c>
      <c r="D23" s="76">
        <f>C23/(1+C17)^2</f>
        <v>-25.78832514</v>
      </c>
      <c r="E23" s="57"/>
    </row>
    <row r="24" ht="15.0" customHeight="1">
      <c r="A24" s="1"/>
      <c r="B24" s="74">
        <v>3.0</v>
      </c>
      <c r="C24" s="75">
        <f>Proyecciones!F39</f>
        <v>-16.45408185</v>
      </c>
      <c r="D24" s="76">
        <f>C24/(1+C17)^3</f>
        <v>-12.14564305</v>
      </c>
      <c r="E24" s="17"/>
    </row>
    <row r="25" ht="15.0" customHeight="1">
      <c r="A25" s="1"/>
      <c r="B25" s="73">
        <v>4.0</v>
      </c>
      <c r="C25" s="26">
        <f>Proyecciones!G39</f>
        <v>3.004573262</v>
      </c>
      <c r="D25" s="50">
        <f>C25/(1+C17)^4</f>
        <v>2.004373311</v>
      </c>
      <c r="E25" s="77"/>
    </row>
    <row r="26" ht="15.0" customHeight="1">
      <c r="A26" s="1"/>
      <c r="B26" s="73">
        <v>5.0</v>
      </c>
      <c r="C26" s="26">
        <f>Proyecciones!H39</f>
        <v>22.22248735</v>
      </c>
      <c r="D26" s="50">
        <f>C26/(1+C17)^5</f>
        <v>13.39792167</v>
      </c>
      <c r="E26" s="77"/>
    </row>
    <row r="27" ht="15.0" customHeight="1">
      <c r="A27" s="1"/>
      <c r="B27" s="24" t="s">
        <v>339</v>
      </c>
      <c r="C27" s="50">
        <f>Proyecciones!H8*DATOS!K64*(1-DATOS!K44)</f>
        <v>75.86238465</v>
      </c>
      <c r="D27" s="60"/>
      <c r="E27" s="22" t="s">
        <v>340</v>
      </c>
    </row>
    <row r="28" ht="15.0" customHeight="1">
      <c r="A28" s="1"/>
      <c r="B28" s="24" t="s">
        <v>341</v>
      </c>
      <c r="C28" s="50">
        <f>C27*(1.03)/(C17-0.03)</f>
        <v>1021.427754</v>
      </c>
      <c r="D28" s="50">
        <f>C28/(1+C17)^5</f>
        <v>615.8180594</v>
      </c>
      <c r="E28" s="22" t="s">
        <v>344</v>
      </c>
    </row>
    <row r="29" ht="15.0" customHeight="1">
      <c r="A29" s="1"/>
      <c r="B29" s="12" t="s">
        <v>345</v>
      </c>
      <c r="C29" s="59">
        <f>SUM(D22:D26)+D28</f>
        <v>554.361816</v>
      </c>
      <c r="D29" s="60"/>
      <c r="E29" s="77" t="s">
        <v>346</v>
      </c>
    </row>
    <row r="30" ht="18.75" customHeight="1">
      <c r="A30" s="1"/>
      <c r="B30" s="24" t="s">
        <v>347</v>
      </c>
      <c r="C30" s="78">
        <f>DATOS!I19+DATOS!I18-DATOS!I27</f>
        <v>236.7</v>
      </c>
      <c r="D30" s="60"/>
      <c r="E30" s="22" t="s">
        <v>348</v>
      </c>
    </row>
    <row r="31" ht="15.0" customHeight="1">
      <c r="A31" s="1"/>
      <c r="B31" s="12" t="s">
        <v>349</v>
      </c>
      <c r="C31" s="59">
        <f>C29+C30</f>
        <v>791.061816</v>
      </c>
      <c r="D31" s="60"/>
      <c r="E31" s="77" t="s">
        <v>350</v>
      </c>
    </row>
    <row r="32" ht="15.0" customHeight="1">
      <c r="A32" s="1"/>
      <c r="B32" s="12" t="s">
        <v>351</v>
      </c>
      <c r="C32" s="79">
        <f>C31/DATOS!K16</f>
        <v>3.06613107</v>
      </c>
      <c r="D32" s="60"/>
      <c r="E32" s="77" t="s">
        <v>352</v>
      </c>
    </row>
    <row r="33" ht="15.0" customHeight="1">
      <c r="A33" s="1"/>
      <c r="B33" s="24" t="s">
        <v>353</v>
      </c>
      <c r="C33" s="20">
        <f>DATOS!K35</f>
        <v>16.12</v>
      </c>
      <c r="D33" s="60"/>
      <c r="E33" s="77" t="s">
        <v>354</v>
      </c>
    </row>
    <row r="34" ht="15.0" customHeight="1">
      <c r="A34" s="1"/>
      <c r="B34" s="61" t="s">
        <v>355</v>
      </c>
      <c r="C34" s="80">
        <f>C32/DATOS!K35-1</f>
        <v>-0.809793358</v>
      </c>
      <c r="D34" s="60"/>
      <c r="E34" s="22" t="s">
        <v>356</v>
      </c>
    </row>
    <row r="35" ht="15.0" customHeight="1">
      <c r="A35" s="1"/>
      <c r="B35" s="12" t="s">
        <v>357</v>
      </c>
      <c r="C35" s="79">
        <f>C34/DATOS!K16</f>
        <v>-0.003138733946</v>
      </c>
      <c r="D35" s="60"/>
      <c r="E35" s="22" t="s">
        <v>358</v>
      </c>
    </row>
    <row r="36" ht="15.0" customHeight="1">
      <c r="A36" s="1"/>
      <c r="B36" s="24" t="s">
        <v>353</v>
      </c>
      <c r="C36" s="20">
        <f>DATOS!K35</f>
        <v>16.12</v>
      </c>
      <c r="D36" s="60"/>
      <c r="E36" s="22" t="s">
        <v>298</v>
      </c>
    </row>
    <row r="37" ht="18.75" customHeight="1">
      <c r="A37" s="1"/>
      <c r="B37" s="12" t="s">
        <v>359</v>
      </c>
      <c r="C37" s="81">
        <f>DATOS!K35/C35</f>
        <v>-5135.828738</v>
      </c>
      <c r="D37" s="60"/>
      <c r="E37" s="22" t="s">
        <v>360</v>
      </c>
    </row>
    <row r="38" ht="15.75" customHeight="1">
      <c r="A38" s="1"/>
      <c r="B38" s="1"/>
      <c r="C38" s="1"/>
      <c r="D38" s="1"/>
      <c r="E38" s="1"/>
    </row>
    <row r="39" ht="63.75" customHeight="1">
      <c r="A39" s="1"/>
      <c r="B39" s="52" t="s">
        <v>361</v>
      </c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4">
    <mergeCell ref="B2:E2"/>
    <mergeCell ref="B3:E3"/>
    <mergeCell ref="B20:E20"/>
    <mergeCell ref="B39:E3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7" width="12.0"/>
    <col customWidth="1" min="8" max="26" width="8.71"/>
  </cols>
  <sheetData>
    <row r="1">
      <c r="A1" s="1"/>
      <c r="B1" s="1"/>
      <c r="C1" s="1"/>
      <c r="D1" s="1"/>
      <c r="E1" s="1"/>
      <c r="F1" s="1"/>
      <c r="G1" s="1"/>
    </row>
    <row r="2" ht="24.0" customHeight="1">
      <c r="A2" s="1"/>
      <c r="B2" s="55" t="s">
        <v>362</v>
      </c>
      <c r="C2" s="4"/>
      <c r="D2" s="4"/>
      <c r="E2" s="4"/>
      <c r="F2" s="4"/>
      <c r="G2" s="5"/>
    </row>
    <row r="3" ht="30.0" customHeight="1">
      <c r="A3" s="1"/>
      <c r="B3" s="6" t="s">
        <v>364</v>
      </c>
    </row>
    <row r="4">
      <c r="A4" s="1"/>
      <c r="B4" s="1"/>
      <c r="C4" s="1"/>
      <c r="D4" s="1"/>
      <c r="E4" s="1"/>
      <c r="F4" s="1"/>
      <c r="G4" s="1"/>
    </row>
    <row r="5" ht="15.0" customHeight="1">
      <c r="A5" s="1"/>
      <c r="B5" s="16" t="s">
        <v>366</v>
      </c>
      <c r="C5" s="82">
        <v>0.15</v>
      </c>
      <c r="D5" s="82">
        <v>0.2</v>
      </c>
      <c r="E5" s="82">
        <v>0.25</v>
      </c>
      <c r="F5" s="82">
        <v>0.3</v>
      </c>
      <c r="G5" s="82">
        <v>0.35</v>
      </c>
    </row>
    <row r="6" ht="15.0" customHeight="1">
      <c r="A6" s="1"/>
      <c r="B6" s="83">
        <v>0.085</v>
      </c>
      <c r="C6" s="86">
        <f>((Proyecciones!D39/(1+$B6)^1+Proyecciones!E39/(1+$B6)^2+Proyecciones!F39/(1+$B6)^3+Proyecciones!G39/(1+$B6)^4+Proyecciones!H39/(1+$B6)^5+(Proyecciones!H8*C$5*(1-DATOS!K44)*1.03/($B6-0.03))/(1+$B6)^5)+(DATOS!I19+DATOS!I18-DATOS!I27))/DATOS!K16</f>
        <v>2.872654727</v>
      </c>
      <c r="D6" s="86">
        <f>((Proyecciones!D39/(1+$B6)^1+Proyecciones!E39/(1+$B6)^2+Proyecciones!F39/(1+$B6)^3+Proyecciones!G39/(1+$B6)^4+Proyecciones!H39/(1+$B6)^5+(Proyecciones!H8*D$5*(1-DATOS!K44)*1.03/($B6-0.03))/(1+$B6)^5)+(DATOS!I19+DATOS!I18-DATOS!I27))/DATOS!K16</f>
        <v>3.605078824</v>
      </c>
      <c r="E6" s="86">
        <f>((Proyecciones!D39/(1+$B6)^1+Proyecciones!E39/(1+$B6)^2+Proyecciones!F39/(1+$B6)^3+Proyecciones!G39/(1+$B6)^4+Proyecciones!H39/(1+$B6)^5+(Proyecciones!H8*E$5*(1-DATOS!K44)*1.03/($B6-0.03))/(1+$B6)^5)+(DATOS!I19+DATOS!I18-DATOS!I27))/DATOS!K16</f>
        <v>4.337502921</v>
      </c>
      <c r="F6" s="86">
        <f>((Proyecciones!D39/(1+$B6)^1+Proyecciones!E39/(1+$B6)^2+Proyecciones!F39/(1+$B6)^3+Proyecciones!G39/(1+$B6)^4+Proyecciones!H39/(1+$B6)^5+(Proyecciones!H8*F$5*(1-DATOS!K44)*1.03/($B6-0.03))/(1+$B6)^5)+(DATOS!I19+DATOS!I18-DATOS!I27))/DATOS!K16</f>
        <v>5.069927017</v>
      </c>
      <c r="G6" s="86">
        <f>((Proyecciones!D39/(1+$B6)^1+Proyecciones!E39/(1+$B6)^2+Proyecciones!F39/(1+$B6)^3+Proyecciones!G39/(1+$B6)^4+Proyecciones!H39/(1+$B6)^5+(Proyecciones!H8*G$5*(1-DATOS!K44)*1.03/($B6-0.03))/(1+$B6)^5)+(DATOS!I19+DATOS!I18-DATOS!I27))/DATOS!K16</f>
        <v>5.802351114</v>
      </c>
    </row>
    <row r="7" ht="15.0" customHeight="1">
      <c r="A7" s="1"/>
      <c r="B7" s="83">
        <v>0.095</v>
      </c>
      <c r="C7" s="86">
        <f>((Proyecciones!D39/(1+$B7)^1+Proyecciones!E39/(1+$B7)^2+Proyecciones!F39/(1+$B7)^3+Proyecciones!G39/(1+$B7)^4+Proyecciones!H39/(1+$B7)^5+(Proyecciones!H8*C$5*(1-DATOS!K44)*1.03/($B7-0.03))/(1+$B7)^5)+(DATOS!I19+DATOS!I18-DATOS!I27))/DATOS!K16</f>
        <v>2.453032562</v>
      </c>
      <c r="D7" s="86">
        <f>((Proyecciones!D39/(1+$B7)^1+Proyecciones!E39/(1+$B7)^2+Proyecciones!F39/(1+$B7)^3+Proyecciones!G39/(1+$B7)^4+Proyecciones!H39/(1+$B7)^5+(Proyecciones!H8*D$5*(1-DATOS!K44)*1.03/($B7-0.03))/(1+$B7)^5)+(DATOS!I19+DATOS!I18-DATOS!I27))/DATOS!K16</f>
        <v>3.044989414</v>
      </c>
      <c r="E7" s="86">
        <f>((Proyecciones!D39/(1+$B7)^1+Proyecciones!E39/(1+$B7)^2+Proyecciones!F39/(1+$B7)^3+Proyecciones!G39/(1+$B7)^4+Proyecciones!H39/(1+$B7)^5+(Proyecciones!H8*E$5*(1-DATOS!K44)*1.03/($B7-0.03))/(1+$B7)^5)+(DATOS!I19+DATOS!I18-DATOS!I27))/DATOS!K16</f>
        <v>3.636946266</v>
      </c>
      <c r="F7" s="86">
        <f>((Proyecciones!D39/(1+$B7)^1+Proyecciones!E39/(1+$B7)^2+Proyecciones!F39/(1+$B7)^3+Proyecciones!G39/(1+$B7)^4+Proyecciones!H39/(1+$B7)^5+(Proyecciones!H8*F$5*(1-DATOS!K44)*1.03/($B7-0.03))/(1+$B7)^5)+(DATOS!I19+DATOS!I18-DATOS!I27))/DATOS!K16</f>
        <v>4.228903118</v>
      </c>
      <c r="G7" s="86">
        <f>((Proyecciones!D39/(1+$B7)^1+Proyecciones!E39/(1+$B7)^2+Proyecciones!F39/(1+$B7)^3+Proyecciones!G39/(1+$B7)^4+Proyecciones!H39/(1+$B7)^5+(Proyecciones!H8*G$5*(1-DATOS!K44)*1.03/($B7-0.03))/(1+$B7)^5)+(DATOS!I19+DATOS!I18-DATOS!I27))/DATOS!K16</f>
        <v>4.82085997</v>
      </c>
    </row>
    <row r="8" ht="15.0" customHeight="1">
      <c r="A8" s="1"/>
      <c r="B8" s="83">
        <v>0.107</v>
      </c>
      <c r="C8" s="86">
        <f>((Proyecciones!D39/(1+$B8)^1+Proyecciones!E39/(1+$B8)^2+Proyecciones!F39/(1+$B8)^3+Proyecciones!G39/(1+$B8)^4+Proyecciones!H39/(1+$B8)^5+(Proyecciones!H8*C$5*(1-DATOS!K44)*1.03/($B8-0.03))/(1+$B8)^5)+(DATOS!I19+DATOS!I18-DATOS!I27))/DATOS!K16</f>
        <v>2.098931954</v>
      </c>
      <c r="D8" s="86">
        <f>((Proyecciones!D39/(1+$B8)^1+Proyecciones!E39/(1+$B8)^2+Proyecciones!F39/(1+$B8)^3+Proyecciones!G39/(1+$B8)^4+Proyecciones!H39/(1+$B8)^5+(Proyecciones!H8*D$5*(1-DATOS!K44)*1.03/($B8-0.03))/(1+$B8)^5)+(DATOS!I19+DATOS!I18-DATOS!I27))/DATOS!K16</f>
        <v>2.572132433</v>
      </c>
      <c r="E8" s="93">
        <f>((Proyecciones!D39/(1+$B8)^1+Proyecciones!E39/(1+$B8)^2+Proyecciones!F39/(1+$B8)^3+Proyecciones!G39/(1+$B8)^4+Proyecciones!H39/(1+$B8)^5+(Proyecciones!H8*E$5*(1-DATOS!K44)*1.03/($B8-0.03))/(1+$B8)^5)+(DATOS!I19+DATOS!I18-DATOS!I27))/DATOS!K16</f>
        <v>3.045332911</v>
      </c>
      <c r="F8" s="86">
        <f>((Proyecciones!D39/(1+$B8)^1+Proyecciones!E39/(1+$B8)^2+Proyecciones!F39/(1+$B8)^3+Proyecciones!G39/(1+$B8)^4+Proyecciones!H39/(1+$B8)^5+(Proyecciones!H8*F$5*(1-DATOS!K44)*1.03/($B8-0.03))/(1+$B8)^5)+(DATOS!I19+DATOS!I18-DATOS!I27))/DATOS!K16</f>
        <v>3.518533389</v>
      </c>
      <c r="G8" s="86">
        <f>((Proyecciones!D39/(1+$B8)^1+Proyecciones!E39/(1+$B8)^2+Proyecciones!F39/(1+$B8)^3+Proyecciones!G39/(1+$B8)^4+Proyecciones!H39/(1+$B8)^5+(Proyecciones!H8*G$5*(1-DATOS!K44)*1.03/($B8-0.03))/(1+$B8)^5)+(DATOS!I19+DATOS!I18-DATOS!I27))/DATOS!K16</f>
        <v>3.991733868</v>
      </c>
    </row>
    <row r="9" ht="15.0" customHeight="1">
      <c r="A9" s="1"/>
      <c r="B9" s="83">
        <v>0.12</v>
      </c>
      <c r="C9" s="86">
        <f>((Proyecciones!D39/(1+$B9)^1+Proyecciones!E39/(1+$B9)^2+Proyecciones!F39/(1+$B9)^3+Proyecciones!G39/(1+$B9)^4+Proyecciones!H39/(1+$B9)^5+(Proyecciones!H8*C$5*(1-DATOS!K44)*1.03/($B9-0.03))/(1+$B9)^5)+(DATOS!I19+DATOS!I18-DATOS!I27))/DATOS!K16</f>
        <v>1.827390194</v>
      </c>
      <c r="D9" s="86">
        <f>((Proyecciones!D39/(1+$B9)^1+Proyecciones!E39/(1+$B9)^2+Proyecciones!F39/(1+$B9)^3+Proyecciones!G39/(1+$B9)^4+Proyecciones!H39/(1+$B9)^5+(Proyecciones!H8*D$5*(1-DATOS!K44)*1.03/($B9-0.03))/(1+$B9)^5)+(DATOS!I19+DATOS!I18-DATOS!I27))/DATOS!K16</f>
        <v>2.209282916</v>
      </c>
      <c r="E9" s="86">
        <f>((Proyecciones!D39/(1+$B9)^1+Proyecciones!E39/(1+$B9)^2+Proyecciones!F39/(1+$B9)^3+Proyecciones!G39/(1+$B9)^4+Proyecciones!H39/(1+$B9)^5+(Proyecciones!H8*E$5*(1-DATOS!K44)*1.03/($B9-0.03))/(1+$B9)^5)+(DATOS!I19+DATOS!I18-DATOS!I27))/DATOS!K16</f>
        <v>2.591175638</v>
      </c>
      <c r="F9" s="86">
        <f>((Proyecciones!D39/(1+$B9)^1+Proyecciones!E39/(1+$B9)^2+Proyecciones!F39/(1+$B9)^3+Proyecciones!G39/(1+$B9)^4+Proyecciones!H39/(1+$B9)^5+(Proyecciones!H8*F$5*(1-DATOS!K44)*1.03/($B9-0.03))/(1+$B9)^5)+(DATOS!I19+DATOS!I18-DATOS!I27))/DATOS!K16</f>
        <v>2.97306836</v>
      </c>
      <c r="G9" s="86">
        <f>((Proyecciones!D39/(1+$B9)^1+Proyecciones!E39/(1+$B9)^2+Proyecciones!F39/(1+$B9)^3+Proyecciones!G39/(1+$B9)^4+Proyecciones!H39/(1+$B9)^5+(Proyecciones!H8*G$5*(1-DATOS!K44)*1.03/($B9-0.03))/(1+$B9)^5)+(DATOS!I19+DATOS!I18-DATOS!I27))/DATOS!K16</f>
        <v>3.354961082</v>
      </c>
    </row>
    <row r="10" ht="15.0" customHeight="1">
      <c r="A10" s="1"/>
      <c r="B10" s="83">
        <v>0.135</v>
      </c>
      <c r="C10" s="86">
        <f>((Proyecciones!D39/(1+$B10)^1+Proyecciones!E39/(1+$B10)^2+Proyecciones!F39/(1+$B10)^3+Proyecciones!G39/(1+$B10)^4+Proyecciones!H39/(1+$B10)^5+(Proyecciones!H8*C$5*(1-DATOS!K44)*1.03/($B10-0.03))/(1+$B10)^5)+(DATOS!I19+DATOS!I18-DATOS!I27))/DATOS!K16</f>
        <v>1.603302666</v>
      </c>
      <c r="D10" s="86">
        <f>((Proyecciones!D39/(1+$B10)^1+Proyecciones!E39/(1+$B10)^2+Proyecciones!F39/(1+$B10)^3+Proyecciones!G39/(1+$B10)^4+Proyecciones!H39/(1+$B10)^5+(Proyecciones!H8*D$5*(1-DATOS!K44)*1.03/($B10-0.03))/(1+$B10)^5)+(DATOS!I19+DATOS!I18-DATOS!I27))/DATOS!K16</f>
        <v>1.909573329</v>
      </c>
      <c r="E10" s="86">
        <f>((Proyecciones!D39/(1+$B10)^1+Proyecciones!E39/(1+$B10)^2+Proyecciones!F39/(1+$B10)^3+Proyecciones!G39/(1+$B10)^4+Proyecciones!H39/(1+$B10)^5+(Proyecciones!H8*E$5*(1-DATOS!K44)*1.03/($B10-0.03))/(1+$B10)^5)+(DATOS!I19+DATOS!I18-DATOS!I27))/DATOS!K16</f>
        <v>2.215843991</v>
      </c>
      <c r="F10" s="86">
        <f>((Proyecciones!D39/(1+$B10)^1+Proyecciones!E39/(1+$B10)^2+Proyecciones!F39/(1+$B10)^3+Proyecciones!G39/(1+$B10)^4+Proyecciones!H39/(1+$B10)^5+(Proyecciones!H8*F$5*(1-DATOS!K44)*1.03/($B10-0.03))/(1+$B10)^5)+(DATOS!I19+DATOS!I18-DATOS!I27))/DATOS!K16</f>
        <v>2.522114653</v>
      </c>
      <c r="G10" s="86">
        <f>((Proyecciones!D39/(1+$B10)^1+Proyecciones!E39/(1+$B10)^2+Proyecciones!F39/(1+$B10)^3+Proyecciones!G39/(1+$B10)^4+Proyecciones!H39/(1+$B10)^5+(Proyecciones!H8*G$5*(1-DATOS!K44)*1.03/($B10-0.03))/(1+$B10)^5)+(DATOS!I19+DATOS!I18-DATOS!I27))/DATOS!K16</f>
        <v>2.828385316</v>
      </c>
    </row>
    <row r="11">
      <c r="A11" s="1"/>
      <c r="B11" s="1"/>
      <c r="C11" s="1"/>
      <c r="D11" s="1"/>
      <c r="E11" s="1"/>
      <c r="F11" s="1"/>
      <c r="G11" s="1"/>
    </row>
    <row r="12" ht="18.75" customHeight="1">
      <c r="A12" s="1"/>
      <c r="B12" s="94" t="s">
        <v>403</v>
      </c>
      <c r="C12" s="92">
        <f>DATOS!K35</f>
        <v>16.12</v>
      </c>
      <c r="D12" s="6" t="s">
        <v>404</v>
      </c>
    </row>
    <row r="13">
      <c r="A13" s="1"/>
      <c r="B13" s="1"/>
      <c r="C13" s="1"/>
      <c r="D13" s="1"/>
      <c r="E13" s="1"/>
      <c r="F13" s="1"/>
      <c r="G13" s="1"/>
    </row>
    <row r="14" ht="63.75" customHeight="1">
      <c r="A14" s="1"/>
      <c r="B14" s="52" t="s">
        <v>405</v>
      </c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 ht="15.75" customHeight="1">
      <c r="A21" s="1"/>
      <c r="B21" s="1"/>
      <c r="C21" s="1"/>
      <c r="D21" s="1"/>
      <c r="E21" s="1"/>
      <c r="F21" s="1"/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4">
    <mergeCell ref="B2:G2"/>
    <mergeCell ref="B3:G3"/>
    <mergeCell ref="D12:G12"/>
    <mergeCell ref="B14:G1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7" width="13.0"/>
    <col customWidth="1" min="8" max="8" width="30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24.0" customHeight="1">
      <c r="A2" s="1"/>
      <c r="B2" s="55" t="s">
        <v>363</v>
      </c>
      <c r="C2" s="4"/>
      <c r="D2" s="4"/>
      <c r="E2" s="4"/>
      <c r="F2" s="4"/>
      <c r="G2" s="4"/>
      <c r="H2" s="5"/>
    </row>
    <row r="3" ht="30.0" customHeight="1">
      <c r="A3" s="1"/>
      <c r="B3" s="6" t="s">
        <v>365</v>
      </c>
    </row>
    <row r="4">
      <c r="A4" s="1"/>
      <c r="B4" s="1"/>
      <c r="C4" s="1"/>
      <c r="D4" s="1"/>
      <c r="E4" s="1"/>
      <c r="F4" s="1"/>
      <c r="G4" s="1"/>
      <c r="H4" s="1"/>
    </row>
    <row r="5" ht="15.0" customHeight="1">
      <c r="A5" s="1"/>
      <c r="B5" s="16" t="s">
        <v>367</v>
      </c>
      <c r="C5" s="16" t="s">
        <v>368</v>
      </c>
      <c r="D5" s="16" t="s">
        <v>369</v>
      </c>
      <c r="E5" s="16" t="s">
        <v>370</v>
      </c>
      <c r="F5" s="16" t="s">
        <v>371</v>
      </c>
      <c r="G5" s="16" t="s">
        <v>49</v>
      </c>
      <c r="H5" s="1"/>
    </row>
    <row r="6" ht="27.75" customHeight="1">
      <c r="A6" s="1"/>
      <c r="B6" s="24" t="s">
        <v>372</v>
      </c>
      <c r="C6" s="73" t="s">
        <v>373</v>
      </c>
      <c r="D6" s="84">
        <v>3.8</v>
      </c>
      <c r="E6" s="84">
        <v>9.0</v>
      </c>
      <c r="F6" s="84">
        <v>1.6</v>
      </c>
      <c r="G6" s="22" t="s">
        <v>374</v>
      </c>
      <c r="H6" s="1"/>
    </row>
    <row r="7" ht="18.75" customHeight="1">
      <c r="A7" s="1"/>
      <c r="B7" s="24" t="s">
        <v>375</v>
      </c>
      <c r="C7" s="73" t="s">
        <v>376</v>
      </c>
      <c r="D7" s="84">
        <v>2.5</v>
      </c>
      <c r="E7" s="85" t="s">
        <v>377</v>
      </c>
      <c r="F7" s="84">
        <v>1.3</v>
      </c>
      <c r="G7" s="22" t="s">
        <v>378</v>
      </c>
      <c r="H7" s="1"/>
    </row>
    <row r="8" ht="27.75" customHeight="1">
      <c r="A8" s="1"/>
      <c r="B8" s="24" t="s">
        <v>379</v>
      </c>
      <c r="C8" s="73" t="s">
        <v>380</v>
      </c>
      <c r="D8" s="84">
        <v>2.0</v>
      </c>
      <c r="E8" s="84">
        <v>8.0</v>
      </c>
      <c r="F8" s="84">
        <v>1.1</v>
      </c>
      <c r="G8" s="22" t="s">
        <v>381</v>
      </c>
      <c r="H8" s="1"/>
    </row>
    <row r="9" ht="27.75" customHeight="1">
      <c r="A9" s="1"/>
      <c r="B9" s="24" t="s">
        <v>382</v>
      </c>
      <c r="C9" s="73" t="s">
        <v>383</v>
      </c>
      <c r="D9" s="84">
        <v>4.5</v>
      </c>
      <c r="E9" s="84">
        <v>12.0</v>
      </c>
      <c r="F9" s="84">
        <v>2.0</v>
      </c>
      <c r="G9" s="22" t="s">
        <v>384</v>
      </c>
      <c r="H9" s="1"/>
    </row>
    <row r="10" ht="18.75" customHeight="1">
      <c r="A10" s="1"/>
      <c r="B10" s="24" t="s">
        <v>385</v>
      </c>
      <c r="C10" s="73" t="s">
        <v>386</v>
      </c>
      <c r="D10" s="84">
        <v>3.0</v>
      </c>
      <c r="E10" s="84">
        <v>7.0</v>
      </c>
      <c r="F10" s="84">
        <v>1.5</v>
      </c>
      <c r="G10" s="22" t="s">
        <v>387</v>
      </c>
      <c r="H10" s="1"/>
    </row>
    <row r="11" ht="27.75" customHeight="1">
      <c r="A11" s="1"/>
      <c r="B11" s="24" t="s">
        <v>388</v>
      </c>
      <c r="C11" s="73" t="s">
        <v>389</v>
      </c>
      <c r="D11" s="84">
        <v>3.5</v>
      </c>
      <c r="E11" s="85" t="s">
        <v>377</v>
      </c>
      <c r="F11" s="84">
        <v>1.4</v>
      </c>
      <c r="G11" s="22" t="s">
        <v>390</v>
      </c>
      <c r="H11" s="1"/>
    </row>
    <row r="12" ht="15.0" customHeight="1">
      <c r="A12" s="1"/>
      <c r="B12" s="87" t="s">
        <v>391</v>
      </c>
      <c r="C12" s="9"/>
      <c r="D12" s="88">
        <f t="shared" ref="D12:F12" si="1">MEDIAN(D6:D11)</f>
        <v>3.25</v>
      </c>
      <c r="E12" s="88">
        <f t="shared" si="1"/>
        <v>8.5</v>
      </c>
      <c r="F12" s="88">
        <f t="shared" si="1"/>
        <v>1.45</v>
      </c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 ht="15.0" customHeight="1">
      <c r="A14" s="1"/>
      <c r="B14" s="7" t="s">
        <v>392</v>
      </c>
      <c r="C14" s="9"/>
      <c r="D14" s="9"/>
      <c r="E14" s="9"/>
      <c r="F14" s="9"/>
      <c r="G14" s="9"/>
      <c r="H14" s="9"/>
    </row>
    <row r="15" ht="15.0" customHeight="1">
      <c r="A15" s="1"/>
      <c r="B15" s="16" t="s">
        <v>393</v>
      </c>
      <c r="C15" s="16" t="s">
        <v>394</v>
      </c>
      <c r="D15" s="16" t="s">
        <v>395</v>
      </c>
      <c r="E15" s="16" t="s">
        <v>396</v>
      </c>
      <c r="F15" s="1"/>
      <c r="G15" s="1"/>
      <c r="H15" s="16" t="s">
        <v>397</v>
      </c>
    </row>
    <row r="16" ht="15.0" customHeight="1">
      <c r="A16" s="1"/>
      <c r="B16" s="24" t="s">
        <v>398</v>
      </c>
      <c r="C16" s="89">
        <f>DATOS!I29</f>
        <v>796.8</v>
      </c>
      <c r="D16" s="90">
        <f>D12</f>
        <v>3.25</v>
      </c>
      <c r="E16" s="79">
        <f>DATOS!I29*D12/DATOS!K16</f>
        <v>10.0372093</v>
      </c>
      <c r="F16" s="91" t="s">
        <v>399</v>
      </c>
      <c r="G16" s="10"/>
      <c r="H16" s="10"/>
    </row>
    <row r="17" ht="15.0" customHeight="1">
      <c r="A17" s="1"/>
      <c r="B17" s="24" t="s">
        <v>400</v>
      </c>
      <c r="C17" s="89">
        <f>DATOS!K53</f>
        <v>122</v>
      </c>
      <c r="D17" s="90">
        <f>E12</f>
        <v>8.5</v>
      </c>
      <c r="E17" s="79">
        <f>(DATOS!K53*E12+DATOS!I19+DATOS!I18-DATOS!I27)/DATOS!K16</f>
        <v>4.936821705</v>
      </c>
      <c r="F17" s="91" t="s">
        <v>401</v>
      </c>
      <c r="G17" s="10"/>
      <c r="H17" s="10"/>
    </row>
    <row r="18" ht="15.0" customHeight="1">
      <c r="A18" s="1"/>
      <c r="B18" s="12" t="s">
        <v>353</v>
      </c>
      <c r="C18" s="1"/>
      <c r="D18" s="1"/>
      <c r="E18" s="92">
        <f>DATOS!K35</f>
        <v>16.12</v>
      </c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 ht="51.75" customHeight="1">
      <c r="A20" s="1"/>
      <c r="B20" s="52" t="s">
        <v>402</v>
      </c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5">
    <mergeCell ref="B2:H2"/>
    <mergeCell ref="B3:H3"/>
    <mergeCell ref="F16:H16"/>
    <mergeCell ref="F17:H17"/>
    <mergeCell ref="B20:H20"/>
  </mergeCells>
  <printOptions/>
  <pageMargins bottom="1.0" footer="0.0" header="0.0" left="0.75" right="0.75" top="1.0"/>
  <pageSetup paperSize="9" orientation="portrait"/>
  <drawing r:id="rId1"/>
</worksheet>
</file>