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DATOS" sheetId="2" r:id="rId6"/>
    <sheet state="visible" name="Estado Resultados" sheetId="3" r:id="rId7"/>
    <sheet state="visible" name="Balance" sheetId="4" r:id="rId8"/>
    <sheet state="visible" name="Análisis Financiero" sheetId="5" r:id="rId9"/>
    <sheet state="visible" name="Proyecciones" sheetId="6" r:id="rId10"/>
    <sheet state="visible" name="Valoración" sheetId="7" r:id="rId11"/>
    <sheet state="visible" name="Sensibilidad" sheetId="8" r:id="rId12"/>
    <sheet state="visible" name="Comparables" sheetId="9" r:id="rId13"/>
  </sheets>
  <definedNames/>
  <calcPr/>
</workbook>
</file>

<file path=xl/sharedStrings.xml><?xml version="1.0" encoding="utf-8"?>
<sst xmlns="http://schemas.openxmlformats.org/spreadsheetml/2006/main" count="479" uniqueCount="445">
  <si>
    <t>USA RARE EARTH (NASDAQ: USAR) — Resumen Ejecutivo</t>
  </si>
  <si>
    <t>BALANCE GENERAL — dic25 → jun26 (Q2) ($M)</t>
  </si>
  <si>
    <t>ESTADO DE RESULTADOS — comparación homogénea ($M, jala de DATOS)</t>
  </si>
  <si>
    <t>Modelo profesional con 4 capas: 3 estados enlazados, DCF real, sensibilidad, comparables — más un NAV por ser empresa de opción. Datos SEC hasta Q2 2026 (jun-2026). Cifras en USD.</t>
  </si>
  <si>
    <t>Dos cortes que muestran la transformación por el PIPE de $1.5B (ene-2026) y el CHIPS Act. El balance es la mayor fortaleza. Verde = de DATOS.</t>
  </si>
  <si>
    <t>CIFRAS CLAVE (de DATOS)</t>
  </si>
  <si>
    <t>USA RARE EARTH (USAR) — HOJA DE DATOS CRUDOS (SEC 10-K / 10-Q). Cifras en millones USD.</t>
  </si>
  <si>
    <t>Empresa en construcción: casi sin ingresos, pierde dinero. Lo relevante no es la ganancia, sino la tendencia de la pérdida operativa y la quema de caja. La pérdida NETA está distorsionada por ajustes no-caja de warrants.</t>
  </si>
  <si>
    <t>Partida ($M)</t>
  </si>
  <si>
    <t>Dic-25</t>
  </si>
  <si>
    <t>Jun-26</t>
  </si>
  <si>
    <t>Comentario</t>
  </si>
  <si>
    <t>Precio de la acción</t>
  </si>
  <si>
    <t>ANUALES</t>
  </si>
  <si>
    <t>ACTIVOS</t>
  </si>
  <si>
    <t>Fuente única. Azul = de SEC. Demás hojas jalan con fórmulas. Edita SOLO aquí. Plataforma mina-a-imán de tierras raras (EE.UU.). Pre-rentabilidad en construcción, con balance descomunal (~$1.5B). Salió a bolsa en 2025 (reverse merger). FY = dic.</t>
  </si>
  <si>
    <t>Caja + equivalentes</t>
  </si>
  <si>
    <t>Q2 (25→26)</t>
  </si>
  <si>
    <t>ANUALES (FY dic)</t>
  </si>
  <si>
    <t>H1 (25→26)</t>
  </si>
  <si>
    <t>Q2 (homólogo)</t>
  </si>
  <si>
    <t>Concepto ($M)</t>
  </si>
  <si>
    <t>FY24</t>
  </si>
  <si>
    <t>FY25</t>
  </si>
  <si>
    <t>H1 / 6 meses</t>
  </si>
  <si>
    <t>FY26e</t>
  </si>
  <si>
    <t>Q2 25</t>
  </si>
  <si>
    <t>Q2 26</t>
  </si>
  <si>
    <t>Δ%</t>
  </si>
  <si>
    <t>H1 25</t>
  </si>
  <si>
    <t>H1 26</t>
  </si>
  <si>
    <t>Balance (cortes)</t>
  </si>
  <si>
    <t>~$17.3 (ago 2026). Rango 52s: $11–44.</t>
  </si>
  <si>
    <t>Ingresos (metales LCM)</t>
  </si>
  <si>
    <t>CLAVE: ~$1.53B tras PIPE. El gran colchón.</t>
  </si>
  <si>
    <t>Ingresos Q2 2026</t>
  </si>
  <si>
    <t xml:space="preserve">   Caja restringida</t>
  </si>
  <si>
    <t>FY2024</t>
  </si>
  <si>
    <t>FY2025</t>
  </si>
  <si>
    <t>FY2026e</t>
  </si>
  <si>
    <t>Q2-25</t>
  </si>
  <si>
    <t>Q2-26</t>
  </si>
  <si>
    <t>H1-25</t>
  </si>
  <si>
    <t>H1-26</t>
  </si>
  <si>
    <t>Solo metales (LCM). Aún sin imanes ni mina.</t>
  </si>
  <si>
    <t>Fuente / nota</t>
  </si>
  <si>
    <t>Pérdida operativa H1 2026</t>
  </si>
  <si>
    <t>ESTADO DE RESULTADOS</t>
  </si>
  <si>
    <t>Escrow planta Blacksburg.</t>
  </si>
  <si>
    <t>La pérdida "real" (sin ruido de warrants).</t>
  </si>
  <si>
    <t>Caja + equivalentes (jun-2026)</t>
  </si>
  <si>
    <t xml:space="preserve">   Inventarios</t>
  </si>
  <si>
    <t>INGRESOS (metales, vía Less Common Metals)</t>
  </si>
  <si>
    <t>~$1.53B tras PIPE de $1.5B. El gran colchón.</t>
  </si>
  <si>
    <t>Sube: arranca producción.</t>
  </si>
  <si>
    <t>Deuda financiera real</t>
  </si>
  <si>
    <t>Total activo corriente</t>
  </si>
  <si>
    <t>CERO: repagó su único préstamo.</t>
  </si>
  <si>
    <t>Patrimonio (jun-2026)</t>
  </si>
  <si>
    <t>Propiedad, planta y equipo</t>
  </si>
  <si>
    <t>~$2.54B. Financiada con capital.</t>
  </si>
  <si>
    <t>Caja por acción</t>
  </si>
  <si>
    <t>Plantas Stillwater/Blacksburg. Crece.</t>
  </si>
  <si>
    <t>Intereses mineros (Round Top)</t>
  </si>
  <si>
    <t>Buena parte del precio es caja pura.</t>
  </si>
  <si>
    <t>Respaldo CHIPS Act</t>
  </si>
  <si>
    <t>Solo de metales LCM. FY26e anualizado. Aún sin imanes ni mina.</t>
  </si>
  <si>
    <t>Derechos del depósito de Texas.</t>
  </si>
  <si>
    <t xml:space="preserve">   Goodwill + intangibles</t>
  </si>
  <si>
    <t>Costo de ventas</t>
  </si>
  <si>
    <t>Hasta $1.6B en fondos y garantías del gobierno.</t>
  </si>
  <si>
    <t>VEREDICTO</t>
  </si>
  <si>
    <t>Tipo de inversión</t>
  </si>
  <si>
    <t>De adquisiciones (LCM).</t>
  </si>
  <si>
    <t>Costos diferidos CHIPS Act</t>
  </si>
  <si>
    <t>&gt; ingresos: márgenes negativos al arrancar.</t>
  </si>
  <si>
    <t>Opción a gran escala</t>
  </si>
  <si>
    <t>UTILIDAD (PÉRDIDA) BRUTA</t>
  </si>
  <si>
    <t>Contrapartida del respaldo gobierno (no-caja).</t>
  </si>
  <si>
    <t>TOTAL ACTIVOS</t>
  </si>
  <si>
    <t>Valor casi todo en el futuro (cadena mina-a-imán), no en el negocio de hoy.</t>
  </si>
  <si>
    <t>Gross loss: costos de arranque &gt; ventas.</t>
  </si>
  <si>
    <t>Gastos de ventas, generales y admin</t>
  </si>
  <si>
    <t>Negocio hoy</t>
  </si>
  <si>
    <t>En construcción</t>
  </si>
  <si>
    <t>Casi sin ingresos; pierde dinero mientras construye mina y plantas.</t>
  </si>
  <si>
    <t>PASIVOS Y PATRIMONIO</t>
  </si>
  <si>
    <t>Balance</t>
  </si>
  <si>
    <t xml:space="preserve">   Cuentas por pagar y acumulados</t>
  </si>
  <si>
    <t>Fortaleza excepcional</t>
  </si>
  <si>
    <t>SG&amp;A. Sube fuerte: construir la plataforma.</t>
  </si>
  <si>
    <t>I+D (R&amp;D)</t>
  </si>
  <si>
    <t>~$1.53B en caja, sin deuda. De los balances más fuertes del sector junior.</t>
  </si>
  <si>
    <t>El gran potencial</t>
  </si>
  <si>
    <t>Mina-a-imán USA</t>
  </si>
  <si>
    <t>Pasivo por warrants (no-caja)</t>
  </si>
  <si>
    <t>Round Top (Texas) + planta de imanes (Oklahoma). Meta: $700–800M ingresos.</t>
  </si>
  <si>
    <t>R&amp;D. Desarrollo del flujo de Round Top.</t>
  </si>
  <si>
    <t>Valoración</t>
  </si>
  <si>
    <t>Gastos operativos totales</t>
  </si>
  <si>
    <t>DCF≈NAV, precio arriba</t>
  </si>
  <si>
    <t>NO es deuda real: se liquida en acciones.</t>
  </si>
  <si>
    <t>Precio (~$17) muy por encima del valor fundamentado (~$8): prima estratégica.</t>
  </si>
  <si>
    <t>Riesgo/premio</t>
  </si>
  <si>
    <t>TOTAL PASIVOS</t>
  </si>
  <si>
    <t>Muy alto/muy asimétrico</t>
  </si>
  <si>
    <t>Ejecución (construir a tiempo), dilución (Serra Verde) y litigio con MP.</t>
  </si>
  <si>
    <t>COMPARACIÓN DEL PORTAFOLIO (7 empresas)</t>
  </si>
  <si>
    <t>Total opex.</t>
  </si>
  <si>
    <t>PÉRDIDA OPERATIVA</t>
  </si>
  <si>
    <t>La pérdida "real". FY26e ~anualizado H1. Crece con la inversión.</t>
  </si>
  <si>
    <t>Ingreso por intereses + dividendos</t>
  </si>
  <si>
    <t>LEU (Centrus)</t>
  </si>
  <si>
    <t xml:space="preserve">   Deuda financiera real</t>
  </si>
  <si>
    <t>Rentable · enriquecimiento</t>
  </si>
  <si>
    <t>Sobre la caja (~$1.5B en money markets). AMORTIGUA la pérdida.</t>
  </si>
  <si>
    <t>El más maduro; precio justificado por fundamentales.</t>
  </si>
  <si>
    <t>Ajuste valor razonable (warrants/earnout)</t>
  </si>
  <si>
    <t>Utilidad (pérdida) bruta</t>
  </si>
  <si>
    <t>HSAI (Hesai)</t>
  </si>
  <si>
    <t>Crecimiento rentable · LiDAR</t>
  </si>
  <si>
    <t>Recién rentable, crecimiento explosivo. Alto upside, riesgo China.</t>
  </si>
  <si>
    <t>NO-CAJA. Ruido que infla/desinfla la neta. IGNORAR para el análisis.</t>
  </si>
  <si>
    <t>Repagó Barclays. SIN deuda tradicional.</t>
  </si>
  <si>
    <t>MP (MP Materials)</t>
  </si>
  <si>
    <t>PÉRDIDA NETA (a la matriz)</t>
  </si>
  <si>
    <t>Cruzando breakeven · imanes</t>
  </si>
  <si>
    <t>EBITDA+; prima estratégica. El gemelo maduro de USAR.</t>
  </si>
  <si>
    <t>PATRIMONIO (total)</t>
  </si>
  <si>
    <t>PCYO (Pure Cycle)</t>
  </si>
  <si>
    <t>Rentable · agua</t>
  </si>
  <si>
    <t>Muy distorsionada por FV. Mirar la OPERATIVA.</t>
  </si>
  <si>
    <t>Compounder lento y predecible; opción sobre derechos de agua.</t>
  </si>
  <si>
    <t>Pérdida neta ajustada (no-GAAP)</t>
  </si>
  <si>
    <t>UUUU (Energy Fuels)</t>
  </si>
  <si>
    <t>Pierde dinero · opción REE</t>
  </si>
  <si>
    <t>Especulativo; se valora por NAV.</t>
  </si>
  <si>
    <t>Ex partidas no-caja. La cifra "limpia".</t>
  </si>
  <si>
    <t>ASPI (ASP Isotopes)</t>
  </si>
  <si>
    <t>EPS (US$)</t>
  </si>
  <si>
    <t>Desarrollo · isótopos/nuclear</t>
  </si>
  <si>
    <t>Muy temprano, opción pura. Balance fuerte, ejecución por probar.</t>
  </si>
  <si>
    <t>USAR (USA Rare Earth)</t>
  </si>
  <si>
    <t>Construcción · imanes REE</t>
  </si>
  <si>
    <t>Opción a gran escala. Balance descomunal ($1.5B), precio con prima.</t>
  </si>
  <si>
    <t>GUÍA DE HOJAS: DATOS (fuente+drivers) · Estado Resultados · Balance · Análisis Financiero · Proyecciones (3 estados enlazados) · Valoración (WACC+DCF+NAV) · Sensibilidad · Comparables.</t>
  </si>
  <si>
    <t>Diluted EPS.</t>
  </si>
  <si>
    <t>DESCARGO: material educativo, no asesoría financiera. Empresa en construcción: riesgo muy alto, dilución probable, posible pérdida. Verifica en SEC EDGAR.</t>
  </si>
  <si>
    <t>Acciones en circulación (M)</t>
  </si>
  <si>
    <t>Enorme tras el PIPE.</t>
  </si>
  <si>
    <t>MÉTRICAS DE UNA EMPRESA EN DESARROLLO</t>
  </si>
  <si>
    <t>244.7M a ago-2026. OJO dilución (Serra Verde +126.8M pendiente).</t>
  </si>
  <si>
    <t>BALANCE GENERAL (fin de periodo)</t>
  </si>
  <si>
    <t>Caja neta de deuda ($M)</t>
  </si>
  <si>
    <t>CLAVE: ~$1.53B tras PIPE $1.5B (ene-2026).</t>
  </si>
  <si>
    <t>Caja restringida</t>
  </si>
  <si>
    <t>Escrow (planta Blacksburg).</t>
  </si>
  <si>
    <t>Cuentas por cobrar</t>
  </si>
  <si>
    <t>Accounts receivable.</t>
  </si>
  <si>
    <t>Inventarios</t>
  </si>
  <si>
    <t>Materias primas + producto. Sube (arranca producción).</t>
  </si>
  <si>
    <t>SG&amp;A</t>
  </si>
  <si>
    <t>Current assets. Dominado por caja.</t>
  </si>
  <si>
    <t>Propiedad, planta y equipo neto</t>
  </si>
  <si>
    <t>PP&amp;E. Plantas Stillwater/Blacksburg. Crece.</t>
  </si>
  <si>
    <t>Prácticamente igual a la caja: no tiene deuda.</t>
  </si>
  <si>
    <t>Derechos mineros Round Top (Texas).</t>
  </si>
  <si>
    <t>Caja por acción ($)</t>
  </si>
  <si>
    <t>Goodwill + intangibles</t>
  </si>
  <si>
    <t>De adquisiciones (Less Common Metals).</t>
  </si>
  <si>
    <t>Costos diferidos de arreglo (CHIPS)</t>
  </si>
  <si>
    <t>Contrapartida contable del CHIPS Act (acciones+warrant al gobierno).</t>
  </si>
  <si>
    <t>Total assets. Salta por PIPE + CHIPS.</t>
  </si>
  <si>
    <t>Cuentas por pagar y acumulados</t>
  </si>
  <si>
    <t>AP + accrued.</t>
  </si>
  <si>
    <t>Total pasivo corriente</t>
  </si>
  <si>
    <t>Buena parte del precio está respaldada por caja pura.</t>
  </si>
  <si>
    <t>Razón corriente</t>
  </si>
  <si>
    <t>Current liabilities.</t>
  </si>
  <si>
    <t>Warrants Serie A + gobierno. NO es deuda real; se liquida en acciones.</t>
  </si>
  <si>
    <t>Total liab. Casi todo es warrants no-caja; deuda real ~0.</t>
  </si>
  <si>
    <t>Preferentes (mezzanine)</t>
  </si>
  <si>
    <t>I+D</t>
  </si>
  <si>
    <t>12% Serie A convertible.</t>
  </si>
  <si>
    <t>Participación no controladora</t>
  </si>
  <si>
    <t>Altísima: cero problemas de liquidez.</t>
  </si>
  <si>
    <t>Patrimonio / Activos</t>
  </si>
  <si>
    <t>TMRC en Round Top (ya adquirida ago-2026).</t>
  </si>
  <si>
    <t>Stockholders' equity. Enorme tras PIPE.</t>
  </si>
  <si>
    <t>Repagó préstamo Barclays. SIN deuda tradicional.</t>
  </si>
  <si>
    <t>FLUJO DE CAJA (H1 / semestral)</t>
  </si>
  <si>
    <t>Flujo de caja operativo (H1)</t>
  </si>
  <si>
    <t>Muy alto: financiada con capital, no deuda.</t>
  </si>
  <si>
    <t>Quema operativa H1: −75M (sube con la escala).</t>
  </si>
  <si>
    <t>CapEx + depósitos equipo (H1)</t>
  </si>
  <si>
    <t>Inversión fuerte: construir plantas.</t>
  </si>
  <si>
    <t>MERCADO Y OPERATIVO (editable)</t>
  </si>
  <si>
    <t>Precio de la acción (US$)</t>
  </si>
  <si>
    <t>Lectura: el balance de USA Rare Earth es, con diferencia, su mayor fortaleza — y lo que la distingue de casi cualquier otra empresa junior de su sector. En enero de 2026 levantó $1,500M en una colocación privada (PIPE), lo que la dejó con ~$1.53B en caja y prácticamente sin deuda tras repagar su único préstamo. Para una empresa que aún no genera ingresos significativos, tener más de mil quinientos millones en el banco es un lujo: le da años de pista para construir su mina y sus plantas de imanes sin verse obligada a levantar capital con urgencia. A eso se suma el respaldo del gobierno vía el CHIPS Act (hasta $1.6B en fondos y garantías), que aparece en el balance como "costos diferidos" y "pasivo por warrants" —partidas contables que no son deuda real que haya que pagar en efectivo—. En resumen: un cofre de guerra enorme para financiar una ambición enorme.</t>
  </si>
  <si>
    <t>ACTUALIZAR. ~$17.3 (ago 2026). Rango 52s: $11–44.</t>
  </si>
  <si>
    <t>Potencial de ingresos (meta, $M)</t>
  </si>
  <si>
    <t>Meta declarada: $700–800M con cadena de imanes completa.</t>
  </si>
  <si>
    <t>CHIPS Act — capacidad total ($M)</t>
  </si>
  <si>
    <t>$277M funding directo + $1,300M garantía préstamos.</t>
  </si>
  <si>
    <t>SUPUESTOS DE VALORACIÓN (editable)</t>
  </si>
  <si>
    <t>Tasa libre de riesgo</t>
  </si>
  <si>
    <t>~4.3%.</t>
  </si>
  <si>
    <t>Prima de riesgo de mercado</t>
  </si>
  <si>
    <t>ERP USA.</t>
  </si>
  <si>
    <t>Beta desapalancado</t>
  </si>
  <si>
    <t>Pre-rentabilidad, minero/manufactura. Alta volatilidad. EDITA.</t>
  </si>
  <si>
    <t>Tasa impositiva</t>
  </si>
  <si>
    <t>USA ~21% (cuando sea rentable).</t>
  </si>
  <si>
    <t>Costo de la deuda</t>
  </si>
  <si>
    <t>Garantía gobierno abarata deuda futura.</t>
  </si>
  <si>
    <t>Margen EBIT terminal</t>
  </si>
  <si>
    <t>Imanes NdFeB integrados: margen maduro. EDITA.</t>
  </si>
  <si>
    <t xml:space="preserve">   Ingreso por intereses</t>
  </si>
  <si>
    <t>USAR es una empresa PRE-RENTABILIDAD en fase de construccion: casi sin ingresos, pierde dinero, valor en el futuro (opcion mina-a-iman).</t>
  </si>
  <si>
    <t>Salio a bolsa en marzo-2025 (reverse merger con Inflection Point). No hay historia larga util: se usa 25-26 + proyeccion por hitos + NAV.</t>
  </si>
  <si>
    <t>BALANCE DESCOMUNAL: ~$1.53B caja (+$64M restringida) tras un PIPE de $1.5B en ene-2026. Da anios de pista. SIN deuda real.</t>
  </si>
  <si>
    <t>ANÁLISIS FINANCIERO — adaptado a una empresa en construcción</t>
  </si>
  <si>
    <t>La perdida NETA esta muy distorsionada por ajustes no-caja de warrants/earnout. Mirar la perdida OPERATIVA (~$83M H1) o la ajustada.</t>
  </si>
  <si>
    <t>Respaldo gobierno enorme: CHIPS Act hasta $1.6B. Contabilizado como $912M de costos diferidos y $364M de pasivo por warrants (no-caja).</t>
  </si>
  <si>
    <t>Consolidacion agresiva: Round Top (Texas, ya 100%), Less Common Metals (metales UK), Serra Verde (~$2.8B, +126.8M acciones, condicional), Carester 13.6%.</t>
  </si>
  <si>
    <t>RIESGO clave: dilucion (Serra Verde suma 126.8M acciones), ejecucion (mina + planta imanes por construir), y litigio con MP Materials por secretos comerciales.</t>
  </si>
  <si>
    <t>Los ratios de rentabilidad no aplican (aún pierde). El foco: solidez del balance, pista de liquidez (runway) y quema de caja. Metodología Celsia adaptada al caso de opción.</t>
  </si>
  <si>
    <t>DRIVERS DE PROYECCIÓN (editables) — rampa mina-a-imán hacia $700-800M meta</t>
  </si>
  <si>
    <t>Indicador</t>
  </si>
  <si>
    <t>Ingresos base FY2026e ($M)</t>
  </si>
  <si>
    <t>Dic-2025</t>
  </si>
  <si>
    <t>Jun-2026</t>
  </si>
  <si>
    <t>Interpretación</t>
  </si>
  <si>
    <t>1 · SOLIDEZ DEL BALANCE (lo más importante aquí)</t>
  </si>
  <si>
    <t>Metales LCM anualizado. Punto de partida.</t>
  </si>
  <si>
    <t>Crecim. ingresos año 1</t>
  </si>
  <si>
    <t>Caja + equivalentes ($M)</t>
  </si>
  <si>
    <t xml:space="preserve">   Ajuste valor razonable (no-caja)</t>
  </si>
  <si>
    <t>Escala metales + primeras ventas de imanes (Stillwater).</t>
  </si>
  <si>
    <t>Crecim. ingresos año 2</t>
  </si>
  <si>
    <t>Planta de imanes ramp-up.</t>
  </si>
  <si>
    <t>Crecim. ingresos año 3</t>
  </si>
  <si>
    <t>Round Top (mina) empieza a contribuir.</t>
  </si>
  <si>
    <t>Crecim. ingresos año 4</t>
  </si>
  <si>
    <t>El colchón. ~$1.53B: enorme para su tamaño.</t>
  </si>
  <si>
    <t>Cadena integrada a volumen.</t>
  </si>
  <si>
    <t>Crecim. ingresos año 5</t>
  </si>
  <si>
    <t>Acercándose a la meta de $700-800M.</t>
  </si>
  <si>
    <t>Margen EBIT año 1</t>
  </si>
  <si>
    <t>Aún muy negativo: gastos fijos enormes vs ventas pequeñas.</t>
  </si>
  <si>
    <t>Margen EBIT año 2</t>
  </si>
  <si>
    <t>Sin deuda real: la caja es casi toda neta.</t>
  </si>
  <si>
    <t>Se reduce la pérdida al escalar imanes.</t>
  </si>
  <si>
    <t>Margen EBIT año 3</t>
  </si>
  <si>
    <t>Cerca del breakeven.</t>
  </si>
  <si>
    <t>Margen EBIT año 4</t>
  </si>
  <si>
    <t>CRUCE a rentabilidad operativa.</t>
  </si>
  <si>
    <t>PÉRDIDA NETA</t>
  </si>
  <si>
    <t>Margen EBIT año 5</t>
  </si>
  <si>
    <t>Márgenes de imanes NdFeB integrados.</t>
  </si>
  <si>
    <t>Estado maduro (cadena integrada, prima estratégica).</t>
  </si>
  <si>
    <t>Depreciación como % ventas</t>
  </si>
  <si>
    <t>Liquidez de corto plazo. Extremadamente holgada.</t>
  </si>
  <si>
    <t>Alto: minero + plantas intensivas en capital.</t>
  </si>
  <si>
    <t>CapEx como % ventas</t>
  </si>
  <si>
    <t>Muy alto: construir mina + plantas. Baja con el tiempo.</t>
  </si>
  <si>
    <t>Working capital como % ventas</t>
  </si>
  <si>
    <t>Inventario de tierras raras + CxC.</t>
  </si>
  <si>
    <t>Rendimiento sobre caja</t>
  </si>
  <si>
    <t>~3.5% sobre el enorme colchón de caja.</t>
  </si>
  <si>
    <t>Financiada con capital, no deuda.</t>
  </si>
  <si>
    <t>2 · QUEMA DE CAJA Y PISTA (RUNWAY)</t>
  </si>
  <si>
    <t>Quema operativa semestral ($M)</t>
  </si>
  <si>
    <t>"n/d"</t>
  </si>
  <si>
    <t>H1-26: −$75M. Sube con la construcción.</t>
  </si>
  <si>
    <t>Inversión en plantas — CapEx H1 ($M)</t>
  </si>
  <si>
    <t>H1-26: −$108M. Construyendo capacidad.</t>
  </si>
  <si>
    <t>Pista de liquidez (años, aprox)</t>
  </si>
  <si>
    <t>Caja ÷ quema anualizada. Varios años de pista aun invirtiendo fuerte.</t>
  </si>
  <si>
    <t>3 · RESPALDO Y ESCALA</t>
  </si>
  <si>
    <t>Respaldo CHIPS Act ($M)</t>
  </si>
  <si>
    <t>Potencial de ingresos declarado ($M)</t>
  </si>
  <si>
    <t>Meta: $700–800M con la cadena de imanes completa.</t>
  </si>
  <si>
    <t>Caja / Pérdida operativa anualizada</t>
  </si>
  <si>
    <t>Lectura: este estado hay que leerlo como el de una empresa en plena construcción, no como el de un negocio en marcha. Los ingresos son mínimos ($5.8M en el trimestre) y vienen solo de su filial de metales (Less Common Metals); todavía no hay ventas de imanes ni de la mina, que son el verdadero plan. La pérdida operativa crece —de $8.8M a $46.3M en el trimestre— pero eso es esperado y hasta buena señal: refleja que está invirtiendo con fuerza en construir sus plantas y su equipo. Ojo con dos cosas: primero, la pérdida NETA es engañosa porque incluye ajustes contables enormes y no monetarios sobre sus warrants (en un trimestre resta $135M, en otro suma $22M), que no tienen nada que ver con la operación; por eso conviene mirar la pérdida OPERATIVA o la ajustada. Y segundo, el ingreso por intereses ya es relevante ($15M en el trimestre) porque su colchón de caja de $1.5B genera rendimiento, lo que amortigua parte de la quema.</t>
  </si>
  <si>
    <t>Cuántos años de pérdida operativa cubre la caja. Muy alto.</t>
  </si>
  <si>
    <t>4 · VALORACIÓN DE MERCADO</t>
  </si>
  <si>
    <t>Capitalización de mercado ($M)</t>
  </si>
  <si>
    <t>Precio × acciones.</t>
  </si>
  <si>
    <t>Caja como % del market cap</t>
  </si>
  <si>
    <t>Qué parte del precio es caja pura. El resto es la "opción".</t>
  </si>
  <si>
    <t>Diagnóstico: como toda empresa en construcción, a USA Rare Earth se le juzga por su capacidad de aguantar el tiempo que tarda en producir, no por lo que gana hoy. Y en ese frente está excepcionalmente bien: su cofre de $1.53B, sin deuda, le da varios años de pista incluso al ritmo agresivo de gasto actual (quema operativa de ~$75M por semestre más ~$108M de inversión en plantas). Encima cuenta con el respaldo del CHIPS Act, que puede aportar hasta $1.6B adicionales en fondos y garantías. Una parte relevante de su precio de bolsa está literalmente respaldada por la caja que tiene en el banco; el resto es lo que el mercado paga por la "opción" de que logre construir la única cadena mina-a-imán integrada de EE.UU. El riesgo no es quedarse sin dinero a corto plazo —eso está cubierto— sino de ejecución (construir a tiempo y a costo) y de dilución (las adquisiciones como Serra Verde emiten muchas acciones nuevas).</t>
  </si>
  <si>
    <t>MODELO DE TRES ESTADOS PROYECTADOS Y ENLAZADOS (5 años) — USA Rare Earth</t>
  </si>
  <si>
    <t>Empresa en construcción: parte de ingresos mínimos y pérdidas grandes. El margen (driver) cruza a positivo TARDE (año 4), cuando la planta de imanes y la mina escalan. La caja de ~$1.53B financia el camino. DESCUADRE verifica el cuadre (=0).</t>
  </si>
  <si>
    <t>Base FY26e</t>
  </si>
  <si>
    <t>Año 1</t>
  </si>
  <si>
    <t>Año 2</t>
  </si>
  <si>
    <t>Año 3</t>
  </si>
  <si>
    <t>Año 4</t>
  </si>
  <si>
    <t>Año 5</t>
  </si>
  <si>
    <t>Notas / enlace</t>
  </si>
  <si>
    <t>1 · ESTADO DE RESULTADOS</t>
  </si>
  <si>
    <t>Ingresos</t>
  </si>
  <si>
    <t>Rampa mina-a-imán hacia la meta de $700-800M.</t>
  </si>
  <si>
    <t xml:space="preserve">  Crecimiento %</t>
  </si>
  <si>
    <t>Ingreso operativo (EBIT)</t>
  </si>
  <si>
    <t>Ventas × margen EBIT (negativo hasta año 4).</t>
  </si>
  <si>
    <t xml:space="preserve">  Margen EBIT %</t>
  </si>
  <si>
    <t>VALORACIÓN — WACC (CAPM) · DCF real · NAV (valor de activos)</t>
  </si>
  <si>
    <t>De −200% a +25%. Cruza a positivo en el año 4.</t>
  </si>
  <si>
    <t xml:space="preserve">   (+) Ingreso por intereses (caja)</t>
  </si>
  <si>
    <t>Empresa de opción a gran escala: el DCF valora el negocio si la rampa mina-a-imán funciona; el NAV pone un piso con la caja descomunal. Amarillo=editable.</t>
  </si>
  <si>
    <t>1 · COSTO DE CAPITAL (WACC vía CAPM)</t>
  </si>
  <si>
    <t>Tasa libre de riesgo (Rf)</t>
  </si>
  <si>
    <t>~3.5% sobre la caja. Amortigua las pérdidas.</t>
  </si>
  <si>
    <t>Utilidad antes de impuestos</t>
  </si>
  <si>
    <t>De DATOS.</t>
  </si>
  <si>
    <t>Prima de riesgo (ERP)</t>
  </si>
  <si>
    <t>Beta desapalancado (βu)</t>
  </si>
  <si>
    <t xml:space="preserve">   (−) Impuestos</t>
  </si>
  <si>
    <t>Pre-rentabilidad, minero+manufactura. Alto. De DATOS.</t>
  </si>
  <si>
    <t>Valor de mercado del equity ($M)</t>
  </si>
  <si>
    <t>Precio × ~244.7M acciones.</t>
  </si>
  <si>
    <t>Valor de la deuda ($M)</t>
  </si>
  <si>
    <t>Solo si hay utilidad.</t>
  </si>
  <si>
    <t>UTILIDAD (PÉRDIDA) NETA</t>
  </si>
  <si>
    <t>Sin deuda real (mínimo 1 para el cálculo).</t>
  </si>
  <si>
    <t>Peso deuda D/(D+E)</t>
  </si>
  <si>
    <t>Peso equity E/(D+E)</t>
  </si>
  <si>
    <t>2 · BALANCE GENERAL</t>
  </si>
  <si>
    <t>Caja + inversiones</t>
  </si>
  <si>
    <t>Tasa impositiva (t)</t>
  </si>
  <si>
    <t>Beta apalancado (βL, Hamada)</t>
  </si>
  <si>
    <t>← Caja final del Flujo. El colchón que financia todo.</t>
  </si>
  <si>
    <t xml:space="preserve">   Cuentas por cobrar</t>
  </si>
  <si>
    <t>βu×(1+(1−t)×D/E). ~=βu: sin deuda.</t>
  </si>
  <si>
    <t>Costo del equity (Ke=CAPM)</t>
  </si>
  <si>
    <t>Rf+βL×ERP.</t>
  </si>
  <si>
    <t>Costo de la deuda (Kd)</t>
  </si>
  <si>
    <t>WACC</t>
  </si>
  <si>
    <t>We×Ke+Wd×Kd(1−t). Alto: empresa de riesgo, casi todo equity.</t>
  </si>
  <si>
    <t>2 · DCF — Flujo de Caja Libre proyectado</t>
  </si>
  <si>
    <t>Año</t>
  </si>
  <si>
    <t>FCF ($M)</t>
  </si>
  <si>
    <t>Ratio CxC/ventas.</t>
  </si>
  <si>
    <t>VP ($M)</t>
  </si>
  <si>
    <t>FCF de Proyecciones. Negativo al inicio (invierte en construir).</t>
  </si>
  <si>
    <t>Ratio inventario/ventas.</t>
  </si>
  <si>
    <t>PP&amp;E neto (plantas + mina)</t>
  </si>
  <si>
    <t>FCF terminal normalizado ($M)</t>
  </si>
  <si>
    <t>Ventas año5 × margen EBIT terminal × (1−t). Normaliza el CapEx de construcción.</t>
  </si>
  <si>
    <t>Valor terminal (Gordon, g=4%)</t>
  </si>
  <si>
    <t>+ CapEx − depreciación. Construye mina + plantas.</t>
  </si>
  <si>
    <t>g perpetuo 4% (tierras raras: demanda estructural creciente).</t>
  </si>
  <si>
    <t>Valor empresa (EV) ($M)</t>
  </si>
  <si>
    <t>Otros activos (CHIPS, goodwill, resto)</t>
  </si>
  <si>
    <t>(+) Caja − deuda ($M)</t>
  </si>
  <si>
    <t>Puente EV→equity. El colchón de $1.5B se suma.</t>
  </si>
  <si>
    <t>Valor del patrimonio — DCF ($M)</t>
  </si>
  <si>
    <t>Valor intrínseco por acción — DCF ($)</t>
  </si>
  <si>
    <t>Costos diferidos CHIPS + goodwill, constante.</t>
  </si>
  <si>
    <t>3 · NAV — valor de activos (piso de valor)</t>
  </si>
  <si>
    <t>Caja + equivalentes + restringida ($M)</t>
  </si>
  <si>
    <t>El activo más líquido y cierto (~$1.6B).</t>
  </si>
  <si>
    <t>(+) Plantas + mina + inventario ($M)</t>
  </si>
  <si>
    <t xml:space="preserve">   Pasivos operativos + warrants</t>
  </si>
  <si>
    <t>PP&amp;E + Round Top + inventarios.</t>
  </si>
  <si>
    <t>(+) Goodwill + intangibles ($M)</t>
  </si>
  <si>
    <t>(−) Pasivos reales (ex warrants no-caja) ($M)</t>
  </si>
  <si>
    <t>Excluye warrants (se liquidan en acciones, no en caja).</t>
  </si>
  <si>
    <t>NAV total ($M)</t>
  </si>
  <si>
    <t>Warrants no-caja + operativos, ~constante.</t>
  </si>
  <si>
    <t>Deuda (plug de cuadre)</t>
  </si>
  <si>
    <t>NAV por acción ($)</t>
  </si>
  <si>
    <t>4 · SÍNTESIS</t>
  </si>
  <si>
    <t>Valor por acción — DCF ($)</t>
  </si>
  <si>
    <t>PLUG: cuadra el balance. Positivo=necesita financiar.</t>
  </si>
  <si>
    <t>Escenario en que la rampa mina-a-imán funciona.</t>
  </si>
  <si>
    <t>Valor por acción — NAV ($)</t>
  </si>
  <si>
    <t>Piso: lo que valen sus activos hoy (casi todo caja).</t>
  </si>
  <si>
    <t>Precio de mercado ($)</t>
  </si>
  <si>
    <t>Margen de seguridad (vs DCF / vs NAV)</t>
  </si>
  <si>
    <t>PATRIMONIO</t>
  </si>
  <si>
    <t>Previo + utilidad (o − pérdida).</t>
  </si>
  <si>
    <t>TOTAL PASIVO + PATRIMONIO</t>
  </si>
  <si>
    <t>Positivo = infravalorada por ese método.</t>
  </si>
  <si>
    <t>ADVERTENCIA: USA Rare Earth es una apuesta de opción a gran escala en fase de construcción. El DCF depende por completo de que logre construir su mina (Round Top) y su planta de imanes y escalar hacia su meta de $700-800M — si hay retrasos o sobrecostos, el valor cae. El NAV es un piso inusualmente firme para una empresa junior, porque ~$1.6B de sus activos son caja pura. La distancia entre NAV y precio mide cuánto del precio es "activo real" y cuánto es "promesa de ejecución". Riesgos añadidos: fuerte dilución por adquisiciones (Serra Verde suma ~127M acciones nuevas) y litigio con MP Materials. Alto riesgo, alto potencial.</t>
  </si>
  <si>
    <t>DESCUADRE (Activo − Pas − Patr)</t>
  </si>
  <si>
    <t>DEBE SER 0.</t>
  </si>
  <si>
    <t>3 · FLUJO DE CAJA</t>
  </si>
  <si>
    <t>Utilidad (pérdida) neta</t>
  </si>
  <si>
    <t>← Resultados.</t>
  </si>
  <si>
    <t xml:space="preserve">   (+) Depreciación</t>
  </si>
  <si>
    <t>No-caja.</t>
  </si>
  <si>
    <t xml:space="preserve">   (−) Δ Capital de trabajo</t>
  </si>
  <si>
    <t>Sobre crecimiento de ventas.</t>
  </si>
  <si>
    <t>Flujo de caja operativo</t>
  </si>
  <si>
    <t xml:space="preserve">   (−) CapEx</t>
  </si>
  <si>
    <t>% de ventas (construye mina + plantas).</t>
  </si>
  <si>
    <t>Flujo de caja libre (FCF)</t>
  </si>
  <si>
    <t>OCF − CapEx. Alimenta el DCF. Negativo los primeros años.</t>
  </si>
  <si>
    <t xml:space="preserve">   Caja inicial</t>
  </si>
  <si>
    <t>Caja final</t>
  </si>
  <si>
    <t>→ Caja del Balance. El colchón financia la construcción.</t>
  </si>
  <si>
    <t>Cómo leerlo: esta es una proyección de "opción a gran escala". USA Rare Earth parte de ingresos mínimos (solo metales) y una pérdida grande, pero el modelo traza la rampa hacia su meta declarada de $700-800M en ingresos cuando la cadena mina-a-imán esté completa. El margen sigue negativo los primeros años —normal en un proyecto que construye mina y plantas a la vez— y cruza a positivo alrededor del año 4. La protagonista es la caja de ~$1.53B: financia las pérdidas y el fortísimo CapEx sin necesidad de deuda ni de diluir con urgencia. El FCF es muy negativo al inicio (está invirtiendo miles de millones en construir) y se vuelve positivo al madurar. Todo cuadra (Descuadre=0). La gran incógnita, igual que en cualquier proyecto de construcción: esta senda supone que la mina y la planta de imanes se terminan a tiempo y a costo; si hay retrasos, se consume más caja y el cruce a rentabilidad se corre.</t>
  </si>
  <si>
    <t>ANÁLISIS DE SENSIBILIDAD — Valor por acción (DCF)</t>
  </si>
  <si>
    <t>WACC (filas) × margen EBIT terminal (columnas). En una empresa de opción, ambos definen si la apuesta paga. Rango amplio = alta incertidumbre.</t>
  </si>
  <si>
    <t>WACC \ margen term.</t>
  </si>
  <si>
    <t>ANÁLISIS DE COMPARABLES (Comps) — tierras raras e imanes</t>
  </si>
  <si>
    <t>Ancla USAR contra pares de tierras raras/imanes. MP Materials es el gemelo más maduro. Casi todos pre-rentabilidad → P/VC y EV/Ventas futuras. Múltiplos aprox/editables (azul).</t>
  </si>
  <si>
    <t>Empresa</t>
  </si>
  <si>
    <t>Ticker</t>
  </si>
  <si>
    <t>P/VC</t>
  </si>
  <si>
    <t>EV/Ventas</t>
  </si>
  <si>
    <t>MP Materials</t>
  </si>
  <si>
    <t>MP</t>
  </si>
  <si>
    <t>El gemelo maduro: mina-a-imán USA, ya con EBITDA+. Referencia clave.</t>
  </si>
  <si>
    <t>Lynas Rare Earths</t>
  </si>
  <si>
    <t>LYC</t>
  </si>
  <si>
    <t>Productor australiano, rentable. Referencia de productor establecido.</t>
  </si>
  <si>
    <t>Energy Fuels</t>
  </si>
  <si>
    <t>UUUU</t>
  </si>
  <si>
    <t>Uranio + tierras raras, pre-rentabilidad. Comparable de opción.</t>
  </si>
  <si>
    <t>Critical Metals</t>
  </si>
  <si>
    <t>CRML</t>
  </si>
  <si>
    <t>n/d</t>
  </si>
  <si>
    <t>Tierras raras pre-producción (Greenland/Tanbreez).</t>
  </si>
  <si>
    <t>Idaho Strategic</t>
  </si>
  <si>
    <t>IDR</t>
  </si>
  <si>
    <t>Tierras raras + oro USA, junior.</t>
  </si>
  <si>
    <t>MEDIANA</t>
  </si>
  <si>
    <t>VALORACIÓN IMPLÍCITA DE USAR ($/acción)</t>
  </si>
  <si>
    <t>Método</t>
  </si>
  <si>
    <t>Base ($M)</t>
  </si>
  <si>
    <t>× múltiplo</t>
  </si>
  <si>
    <t>Valor/acción</t>
  </si>
  <si>
    <t>Nota</t>
  </si>
  <si>
    <t>Por P/VC (patrimonio)</t>
  </si>
  <si>
    <t>Patrimonio × P/VC mediana.</t>
  </si>
  <si>
    <t>Por EV/Ventas (ingreso año4 proj)</t>
  </si>
  <si>
    <t>Ventas futuras (año4) × múltiplo + caja neta.</t>
  </si>
  <si>
    <t>Nota: el comparable natural de USA Rare Earth es MP Materials — ambas persiguen la cadena mina-a-imán integrada de EE.UU., pero MP va varios años por delante (ya genera EBITDA positivo y tiene operaciones en marcha), lo que explica por qué cotiza a múltiplos más altos. USAR es la versión más temprana y de mayor riesgo de la misma tesis, con la diferencia de un balance aún más cargado de caja. Lynas ancla el extremo "productor establecido"; Energy Fuels y Critical Metals aportan referencias de opción pre-rentabilidad. El comparable por valor en libros mide cuánto paga el mercado por empresas de esta etapa; el de ventas futuras muestra el potencial si ejecuta. Ambos son orientativos: en una empresa tan temprana, la valoración es intrínsecamente incierta y depende de la ejecución.</t>
  </si>
  <si>
    <t>Precio de mercado:</t>
  </si>
  <si>
    <t>Compara cada celda con el precio de ~$17.</t>
  </si>
  <si>
    <t>Lectura: como toda empresa de opción, el rango es muy amplio: en los escenarios pesimistas (WACC alto, margen bajo) el valor es modesto y descansa sobre todo en la caja; en los optimistas (ejecuta bien la cadena mina-a-imán, márgenes altos) vale bastante más que el precio actual. Eso no es un fallo del modelo: es la naturaleza de la apuesta. El valor depende de la ejecución futura, no del negocio de hoy. Por eso el NAV (hoja Valoración) es el complemento imprescindible — pone un piso especialmente firme en este caso, porque casi toda la base de activos es caja.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</si>
</sst>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;\(#,##0.0\);\-"/>
    <numFmt numFmtId="165" formatCode="\$#,##0.00"/>
    <numFmt numFmtId="166" formatCode="\$#,##0.0"/>
    <numFmt numFmtId="167" formatCode="\$#,##0"/>
    <numFmt numFmtId="168" formatCode="0.0%"/>
    <numFmt numFmtId="169" formatCode="#,##0.0"/>
    <numFmt numFmtId="170" formatCode="0.00\x"/>
    <numFmt numFmtId="171" formatCode="#,##0.0&quot; años&quot;"/>
    <numFmt numFmtId="172" formatCode="0.0\x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b/>
      <sz val="13.0"/>
      <color rgb="FFFFFFFF"/>
      <name val="Arial"/>
    </font>
    <font>
      <i/>
      <sz val="8.0"/>
      <color rgb="FF808080"/>
      <name val="Arial"/>
    </font>
    <font>
      <b/>
      <sz val="11.0"/>
      <color theme="1"/>
      <name val="Arial"/>
    </font>
    <font>
      <b/>
      <sz val="9.0"/>
      <color rgb="FFFFFFFF"/>
      <name val="Arial"/>
    </font>
    <font>
      <b/>
      <sz val="10.0"/>
      <color theme="1"/>
      <name val="Arial"/>
    </font>
    <font>
      <b/>
      <sz val="10.0"/>
      <color rgb="FF7A2E1E"/>
      <name val="Arial"/>
    </font>
    <font>
      <b/>
      <sz val="10.0"/>
      <color rgb="FF008000"/>
      <name val="Arial"/>
    </font>
    <font>
      <sz val="10.0"/>
      <color rgb="FF008000"/>
      <name val="Arial"/>
    </font>
    <font>
      <sz val="10.0"/>
      <color rgb="FF000000"/>
      <name val="Arial"/>
    </font>
    <font>
      <sz val="10.0"/>
      <color rgb="FF0000FF"/>
      <name val="Arial"/>
    </font>
    <font>
      <sz val="9.0"/>
      <color rgb="FF404040"/>
      <name val="Arial"/>
    </font>
    <font>
      <b/>
      <sz val="9.0"/>
      <color rgb="FF7A2E1E"/>
      <name val="Arial"/>
    </font>
    <font>
      <b/>
      <sz val="9.0"/>
      <color theme="1"/>
      <name val="Arial"/>
    </font>
    <font>
      <i/>
      <sz val="8.0"/>
      <color rgb="FF606060"/>
      <name val="Arial"/>
    </font>
    <font>
      <i/>
      <sz val="8.0"/>
      <color rgb="FFC00000"/>
      <name val="Arial"/>
    </font>
    <font>
      <i/>
      <sz val="9.0"/>
      <color rgb="FF7A2E1E"/>
      <name val="Arial"/>
    </font>
    <font>
      <sz val="8.0"/>
      <color rgb="FF606060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i/>
      <sz val="9.0"/>
      <color rgb="FFC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7A2E1E"/>
        <bgColor rgb="FF7A2E1E"/>
      </patternFill>
    </fill>
    <fill>
      <patternFill patternType="solid">
        <fgColor rgb="FFEEDDD6"/>
        <bgColor rgb="FFEEDDD6"/>
      </patternFill>
    </fill>
    <fill>
      <patternFill patternType="solid">
        <fgColor rgb="FFA0442E"/>
        <bgColor rgb="FFA0442E"/>
      </patternFill>
    </fill>
    <fill>
      <patternFill patternType="solid">
        <fgColor rgb="FF548235"/>
        <bgColor rgb="FF548235"/>
      </patternFill>
    </fill>
    <fill>
      <patternFill patternType="solid">
        <fgColor rgb="FFC05A38"/>
        <bgColor rgb="FFC05A38"/>
      </patternFill>
    </fill>
    <fill>
      <patternFill patternType="solid">
        <fgColor rgb="FFBF8F00"/>
        <bgColor rgb="FFBF8F00"/>
      </patternFill>
    </fill>
    <fill>
      <patternFill patternType="solid">
        <fgColor rgb="FFE8CFC6"/>
        <bgColor rgb="FFE8CFC6"/>
      </patternFill>
    </fill>
    <fill>
      <patternFill patternType="solid">
        <fgColor rgb="FFFFF2CC"/>
        <bgColor rgb="FFFFF2CC"/>
      </patternFill>
    </fill>
    <fill>
      <patternFill patternType="solid">
        <fgColor rgb="FFF5E9E4"/>
        <bgColor rgb="FFF5E9E4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0" fillId="0" fontId="5" numFmtId="0" xfId="0" applyAlignment="1" applyFont="1">
      <alignment horizontal="left" shrinkToFit="0" vertical="center" wrapText="1"/>
    </xf>
    <xf borderId="4" fillId="3" fontId="6" numFmtId="0" xfId="0" applyAlignment="1" applyBorder="1" applyFill="1" applyFont="1">
      <alignment shrinkToFit="0" vertical="bottom" wrapText="0"/>
    </xf>
    <xf borderId="4" fillId="4" fontId="7" numFmtId="0" xfId="0" applyAlignment="1" applyBorder="1" applyFill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4" fillId="4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3" fontId="9" numFmtId="0" xfId="0" applyAlignment="1" applyBorder="1" applyFont="1">
      <alignment shrinkToFit="0" vertical="bottom" wrapText="0"/>
    </xf>
    <xf borderId="5" fillId="5" fontId="7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5" fillId="6" fontId="7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7" fontId="7" numFmtId="0" xfId="0" applyAlignment="1" applyBorder="1" applyFill="1" applyFont="1">
      <alignment horizontal="center" shrinkToFit="0" vertical="center" wrapText="1"/>
    </xf>
    <xf borderId="4" fillId="0" fontId="10" numFmtId="164" xfId="0" applyAlignment="1" applyBorder="1" applyFont="1" applyNumberFormat="1">
      <alignment horizontal="center" shrinkToFit="0" vertical="center" wrapText="1"/>
    </xf>
    <xf borderId="4" fillId="0" fontId="11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0" fontId="11" numFmtId="166" xfId="0" applyAlignment="1" applyBorder="1" applyFont="1" applyNumberFormat="1">
      <alignment horizontal="center" shrinkToFit="0" vertical="center" wrapText="1"/>
    </xf>
    <xf borderId="4" fillId="0" fontId="11" numFmtId="164" xfId="0" applyAlignment="1" applyBorder="1" applyFont="1" applyNumberFormat="1">
      <alignment horizontal="center" shrinkToFit="0" vertical="center" wrapText="1"/>
    </xf>
    <xf borderId="4" fillId="8" fontId="9" numFmtId="0" xfId="0" applyAlignment="1" applyBorder="1" applyFill="1" applyFont="1">
      <alignment horizontal="left" shrinkToFit="0" vertical="center" wrapText="1"/>
    </xf>
    <xf borderId="4" fillId="8" fontId="1" numFmtId="0" xfId="0" applyAlignment="1" applyBorder="1" applyFont="1">
      <alignment shrinkToFit="0" vertical="bottom" wrapText="0"/>
    </xf>
    <xf borderId="4" fillId="0" fontId="11" numFmtId="167" xfId="0" applyAlignment="1" applyBorder="1" applyFont="1" applyNumberFormat="1">
      <alignment horizontal="center" shrinkToFit="0" vertical="center" wrapText="1"/>
    </xf>
    <xf borderId="4" fillId="9" fontId="13" numFmtId="164" xfId="0" applyAlignment="1" applyBorder="1" applyFill="1" applyFont="1" applyNumberFormat="1">
      <alignment horizontal="center" shrinkToFit="0" vertical="center" wrapText="1"/>
    </xf>
    <xf borderId="4" fillId="10" fontId="13" numFmtId="164" xfId="0" applyAlignment="1" applyBorder="1" applyFill="1" applyFont="1" applyNumberFormat="1">
      <alignment horizontal="center" shrinkToFit="0" vertical="center" wrapText="1"/>
    </xf>
    <xf borderId="4" fillId="0" fontId="12" numFmtId="168" xfId="0" applyAlignment="1" applyBorder="1" applyFont="1" applyNumberFormat="1">
      <alignment horizontal="center" shrinkToFit="0" vertical="center" wrapText="1"/>
    </xf>
    <xf borderId="4" fillId="10" fontId="12" numFmtId="0" xfId="0" applyAlignment="1" applyBorder="1" applyFont="1">
      <alignment horizontal="center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4" fillId="0" fontId="14" numFmtId="0" xfId="0" applyAlignment="1" applyBorder="1" applyFont="1">
      <alignment horizontal="left" shrinkToFit="0" vertical="center" wrapText="1"/>
    </xf>
    <xf borderId="4" fillId="9" fontId="12" numFmtId="0" xfId="0" applyAlignment="1" applyBorder="1" applyFont="1">
      <alignment horizontal="center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4" fillId="13" fontId="8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4" fillId="10" fontId="13" numFmtId="4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4" fillId="9" fontId="13" numFmtId="169" xfId="0" applyAlignment="1" applyBorder="1" applyFont="1" applyNumberFormat="1">
      <alignment horizontal="center" shrinkToFit="0" vertical="center" wrapText="1"/>
    </xf>
    <xf borderId="4" fillId="10" fontId="13" numFmtId="169" xfId="0" applyAlignment="1" applyBorder="1" applyFont="1" applyNumberFormat="1">
      <alignment horizontal="center" shrinkToFit="0" vertical="center" wrapText="1"/>
    </xf>
    <xf borderId="4" fillId="0" fontId="12" numFmtId="164" xfId="0" applyAlignment="1" applyBorder="1" applyFont="1" applyNumberFormat="1">
      <alignment horizontal="center" shrinkToFit="0" vertical="center" wrapText="1"/>
    </xf>
    <xf borderId="4" fillId="0" fontId="12" numFmtId="4" xfId="0" applyAlignment="1" applyBorder="1" applyFont="1" applyNumberFormat="1">
      <alignment horizontal="center" shrinkToFit="0" vertical="center" wrapText="1"/>
    </xf>
    <xf borderId="4" fillId="0" fontId="12" numFmtId="170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4" fillId="10" fontId="13" numFmtId="3" xfId="0" applyAlignment="1" applyBorder="1" applyFont="1" applyNumberFormat="1">
      <alignment horizontal="center" shrinkToFit="0" vertical="center" wrapText="1"/>
    </xf>
    <xf borderId="4" fillId="10" fontId="13" numFmtId="168" xfId="0" applyAlignment="1" applyBorder="1" applyFont="1" applyNumberFormat="1">
      <alignment horizontal="center" shrinkToFit="0" vertical="center" wrapText="1"/>
    </xf>
    <xf borderId="4" fillId="10" fontId="13" numFmtId="2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left" shrinkToFit="0" vertical="center" wrapText="1"/>
    </xf>
    <xf borderId="1" fillId="2" fontId="21" numFmtId="0" xfId="0" applyAlignment="1" applyBorder="1" applyFont="1">
      <alignment horizontal="center" shrinkToFit="0" vertical="center" wrapText="1"/>
    </xf>
    <xf borderId="4" fillId="4" fontId="22" numFmtId="0" xfId="0" applyAlignment="1" applyBorder="1" applyFont="1">
      <alignment horizontal="left" shrinkToFit="0" vertical="center" wrapText="1"/>
    </xf>
    <xf borderId="4" fillId="14" fontId="13" numFmtId="169" xfId="0" applyAlignment="1" applyBorder="1" applyFill="1" applyFont="1" applyNumberFormat="1">
      <alignment horizontal="center" shrinkToFit="0" vertical="center" wrapText="0"/>
    </xf>
    <xf borderId="4" fillId="4" fontId="1" numFmtId="0" xfId="0" applyAlignment="1" applyBorder="1" applyFont="1">
      <alignment shrinkToFit="0" vertical="bottom" wrapText="0"/>
    </xf>
    <xf borderId="4" fillId="14" fontId="13" numFmtId="168" xfId="0" applyAlignment="1" applyBorder="1" applyFont="1" applyNumberFormat="1">
      <alignment horizontal="center" shrinkToFit="0" vertical="center" wrapText="0"/>
    </xf>
    <xf borderId="4" fillId="0" fontId="12" numFmtId="171" xfId="0" applyAlignment="1" applyBorder="1" applyFont="1" applyNumberFormat="1">
      <alignment horizontal="center" shrinkToFit="0" vertical="center" wrapText="1"/>
    </xf>
    <xf borderId="4" fillId="0" fontId="12" numFmtId="172" xfId="0" applyAlignment="1" applyBorder="1" applyFont="1" applyNumberFormat="1">
      <alignment horizontal="center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0" fontId="11" numFmtId="10" xfId="0" applyAlignment="1" applyBorder="1" applyFont="1" applyNumberFormat="1">
      <alignment horizontal="center" shrinkToFit="0" vertical="center" wrapText="1"/>
    </xf>
    <xf borderId="4" fillId="0" fontId="11" numFmtId="2" xfId="0" applyAlignment="1" applyBorder="1" applyFont="1" applyNumberFormat="1">
      <alignment horizontal="center" shrinkToFit="0" vertical="center" wrapText="1"/>
    </xf>
    <xf borderId="4" fillId="0" fontId="12" numFmtId="3" xfId="0" applyAlignment="1" applyBorder="1" applyFont="1" applyNumberFormat="1">
      <alignment horizontal="center" shrinkToFit="0" vertical="center" wrapText="1"/>
    </xf>
    <xf borderId="4" fillId="12" fontId="8" numFmtId="0" xfId="0" applyAlignment="1" applyBorder="1" applyFont="1">
      <alignment horizontal="left" shrinkToFit="0" vertical="center" wrapText="1"/>
    </xf>
    <xf borderId="4" fillId="0" fontId="11" numFmtId="3" xfId="0" applyAlignment="1" applyBorder="1" applyFont="1" applyNumberFormat="1">
      <alignment horizontal="center" shrinkToFit="0" vertical="center" wrapText="1"/>
    </xf>
    <xf borderId="4" fillId="12" fontId="8" numFmtId="164" xfId="0" applyAlignment="1" applyBorder="1" applyFont="1" applyNumberFormat="1">
      <alignment horizontal="center" shrinkToFit="0" vertical="center" wrapText="1"/>
    </xf>
    <xf borderId="4" fillId="0" fontId="11" numFmtId="168" xfId="0" applyAlignment="1" applyBorder="1" applyFont="1" applyNumberFormat="1">
      <alignment horizontal="center" shrinkToFit="0" vertical="center" wrapText="1"/>
    </xf>
    <xf borderId="4" fillId="0" fontId="12" numFmtId="2" xfId="0" applyAlignment="1" applyBorder="1" applyFont="1" applyNumberFormat="1">
      <alignment horizontal="center" shrinkToFit="0" vertical="center" wrapText="1"/>
    </xf>
    <xf borderId="4" fillId="11" fontId="12" numFmtId="10" xfId="0" applyAlignment="1" applyBorder="1" applyFont="1" applyNumberFormat="1">
      <alignment horizontal="center" shrinkToFit="0" vertical="center" wrapText="1"/>
    </xf>
    <xf borderId="4" fillId="14" fontId="8" numFmtId="10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12" fontId="8" numFmtId="165" xfId="0" applyAlignment="1" applyBorder="1" applyFont="1" applyNumberFormat="1">
      <alignment horizontal="center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4" fillId="11" fontId="11" numFmtId="165" xfId="0" applyAlignment="1" applyBorder="1" applyFont="1" applyNumberFormat="1">
      <alignment horizontal="center" shrinkToFit="0" vertical="center" wrapText="1"/>
    </xf>
    <xf borderId="4" fillId="14" fontId="8" numFmtId="168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horizontal="left" shrinkToFit="0" vertical="center" wrapText="1"/>
    </xf>
    <xf borderId="4" fillId="14" fontId="8" numFmtId="0" xfId="0" applyAlignment="1" applyBorder="1" applyFont="1">
      <alignment horizontal="left" shrinkToFit="0" vertical="center" wrapText="1"/>
    </xf>
    <xf borderId="4" fillId="14" fontId="8" numFmtId="164" xfId="0" applyAlignment="1" applyBorder="1" applyFont="1" applyNumberFormat="1">
      <alignment horizontal="center" shrinkToFit="0" vertical="center" wrapText="1"/>
    </xf>
    <xf borderId="4" fillId="4" fontId="7" numFmtId="168" xfId="0" applyAlignment="1" applyBorder="1" applyFont="1" applyNumberFormat="1">
      <alignment horizontal="center" shrinkToFit="0" vertical="center" wrapText="1"/>
    </xf>
    <xf borderId="4" fillId="4" fontId="7" numFmtId="10" xfId="0" applyAlignment="1" applyBorder="1" applyFont="1" applyNumberFormat="1">
      <alignment horizontal="center" shrinkToFit="0" vertical="center" wrapText="1"/>
    </xf>
    <xf borderId="4" fillId="0" fontId="12" numFmtId="165" xfId="0" applyAlignment="1" applyBorder="1" applyFont="1" applyNumberFormat="1">
      <alignment horizontal="center" shrinkToFit="0" vertical="center" wrapText="1"/>
    </xf>
    <xf borderId="4" fillId="14" fontId="8" numFmtId="165" xfId="0" applyAlignment="1" applyBorder="1" applyFont="1" applyNumberFormat="1">
      <alignment horizontal="center" shrinkToFit="0" vertical="center" wrapText="1"/>
    </xf>
    <xf borderId="4" fillId="0" fontId="13" numFmtId="172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shrinkToFit="0" vertical="bottom" wrapText="0"/>
    </xf>
    <xf borderId="4" fillId="3" fontId="8" numFmtId="172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4" fillId="11" fontId="8" numFmtId="165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17.0"/>
    <col customWidth="1" min="4" max="4" width="54.0"/>
    <col customWidth="1" min="5" max="26" width="8.71"/>
  </cols>
  <sheetData>
    <row r="2" ht="27.75" customHeight="1">
      <c r="B2" s="2" t="s">
        <v>0</v>
      </c>
      <c r="C2" s="3"/>
      <c r="D2" s="5"/>
    </row>
    <row r="3" ht="18.75" customHeight="1">
      <c r="B3" s="6" t="s">
        <v>3</v>
      </c>
    </row>
    <row r="5">
      <c r="B5" s="7" t="s">
        <v>5</v>
      </c>
      <c r="C5" s="9"/>
      <c r="D5" s="9"/>
    </row>
    <row r="6">
      <c r="B6" s="11" t="s">
        <v>12</v>
      </c>
      <c r="C6" s="20">
        <f>DATOS!K44</f>
        <v>17.34</v>
      </c>
      <c r="D6" s="21" t="s">
        <v>32</v>
      </c>
    </row>
    <row r="7">
      <c r="B7" s="11" t="s">
        <v>35</v>
      </c>
      <c r="C7" s="24">
        <f>DATOS!G8</f>
        <v>5.82</v>
      </c>
      <c r="D7" s="21" t="s">
        <v>44</v>
      </c>
    </row>
    <row r="8">
      <c r="B8" s="11" t="s">
        <v>46</v>
      </c>
      <c r="C8" s="24">
        <f>DATOS!I14</f>
        <v>-82.99</v>
      </c>
      <c r="D8" s="21" t="s">
        <v>49</v>
      </c>
    </row>
    <row r="9">
      <c r="B9" s="11" t="s">
        <v>50</v>
      </c>
      <c r="C9" s="28">
        <f>DATOS!K22</f>
        <v>1530.1</v>
      </c>
      <c r="D9" s="21" t="s">
        <v>53</v>
      </c>
    </row>
    <row r="10">
      <c r="B10" s="11" t="s">
        <v>55</v>
      </c>
      <c r="C10" s="28">
        <f>DATOS!K39</f>
        <v>0</v>
      </c>
      <c r="D10" s="21" t="s">
        <v>57</v>
      </c>
    </row>
    <row r="11">
      <c r="B11" s="11" t="s">
        <v>58</v>
      </c>
      <c r="C11" s="28">
        <f>DATOS!K38</f>
        <v>2537</v>
      </c>
      <c r="D11" s="21" t="s">
        <v>60</v>
      </c>
    </row>
    <row r="12">
      <c r="B12" s="11" t="s">
        <v>61</v>
      </c>
      <c r="C12" s="20">
        <f>DATOS!K22/DATOS!K20</f>
        <v>6.252962812</v>
      </c>
      <c r="D12" s="21" t="s">
        <v>64</v>
      </c>
    </row>
    <row r="13">
      <c r="B13" s="11" t="s">
        <v>65</v>
      </c>
      <c r="C13" s="28">
        <f>DATOS!K46</f>
        <v>1577</v>
      </c>
      <c r="D13" s="21" t="s">
        <v>70</v>
      </c>
    </row>
    <row r="15">
      <c r="B15" s="7" t="s">
        <v>71</v>
      </c>
      <c r="C15" s="9"/>
      <c r="D15" s="9"/>
    </row>
    <row r="16" ht="31.5" customHeight="1">
      <c r="B16" s="11" t="s">
        <v>72</v>
      </c>
      <c r="C16" s="33" t="s">
        <v>76</v>
      </c>
      <c r="D16" s="34" t="s">
        <v>80</v>
      </c>
    </row>
    <row r="17" ht="31.5" customHeight="1">
      <c r="B17" s="11" t="s">
        <v>83</v>
      </c>
      <c r="C17" s="33" t="s">
        <v>84</v>
      </c>
      <c r="D17" s="34" t="s">
        <v>85</v>
      </c>
    </row>
    <row r="18" ht="31.5" customHeight="1">
      <c r="B18" s="11" t="s">
        <v>87</v>
      </c>
      <c r="C18" s="36" t="s">
        <v>89</v>
      </c>
      <c r="D18" s="34" t="s">
        <v>92</v>
      </c>
    </row>
    <row r="19" ht="31.5" customHeight="1">
      <c r="B19" s="11" t="s">
        <v>93</v>
      </c>
      <c r="C19" s="36" t="s">
        <v>94</v>
      </c>
      <c r="D19" s="34" t="s">
        <v>96</v>
      </c>
    </row>
    <row r="20" ht="31.5" customHeight="1">
      <c r="B20" s="11" t="s">
        <v>98</v>
      </c>
      <c r="C20" s="37" t="s">
        <v>100</v>
      </c>
      <c r="D20" s="34" t="s">
        <v>102</v>
      </c>
    </row>
    <row r="21" ht="31.5" customHeight="1">
      <c r="B21" s="11" t="s">
        <v>103</v>
      </c>
      <c r="C21" s="37" t="s">
        <v>105</v>
      </c>
      <c r="D21" s="34" t="s">
        <v>106</v>
      </c>
    </row>
    <row r="22" ht="15.75" customHeight="1"/>
    <row r="23" ht="15.75" customHeight="1">
      <c r="B23" s="7" t="s">
        <v>107</v>
      </c>
      <c r="C23" s="9"/>
      <c r="D23" s="9"/>
    </row>
    <row r="24" ht="25.5" customHeight="1">
      <c r="B24" s="38" t="s">
        <v>112</v>
      </c>
      <c r="C24" s="39" t="s">
        <v>114</v>
      </c>
      <c r="D24" s="34" t="s">
        <v>116</v>
      </c>
    </row>
    <row r="25" ht="25.5" customHeight="1">
      <c r="B25" s="38" t="s">
        <v>119</v>
      </c>
      <c r="C25" s="39" t="s">
        <v>120</v>
      </c>
      <c r="D25" s="34" t="s">
        <v>121</v>
      </c>
    </row>
    <row r="26" ht="25.5" customHeight="1">
      <c r="B26" s="38" t="s">
        <v>124</v>
      </c>
      <c r="C26" s="39" t="s">
        <v>126</v>
      </c>
      <c r="D26" s="34" t="s">
        <v>127</v>
      </c>
    </row>
    <row r="27" ht="25.5" customHeight="1">
      <c r="B27" s="38" t="s">
        <v>129</v>
      </c>
      <c r="C27" s="39" t="s">
        <v>130</v>
      </c>
      <c r="D27" s="34" t="s">
        <v>132</v>
      </c>
    </row>
    <row r="28" ht="25.5" customHeight="1">
      <c r="B28" s="38" t="s">
        <v>134</v>
      </c>
      <c r="C28" s="39" t="s">
        <v>135</v>
      </c>
      <c r="D28" s="34" t="s">
        <v>136</v>
      </c>
    </row>
    <row r="29" ht="25.5" customHeight="1">
      <c r="B29" s="38" t="s">
        <v>138</v>
      </c>
      <c r="C29" s="39" t="s">
        <v>140</v>
      </c>
      <c r="D29" s="34" t="s">
        <v>141</v>
      </c>
    </row>
    <row r="30" ht="25.5" customHeight="1">
      <c r="B30" s="38" t="s">
        <v>142</v>
      </c>
      <c r="C30" s="39" t="s">
        <v>143</v>
      </c>
      <c r="D30" s="34" t="s">
        <v>144</v>
      </c>
    </row>
    <row r="31" ht="15.75" customHeight="1"/>
    <row r="32" ht="18.75" customHeight="1">
      <c r="B32" s="41" t="s">
        <v>145</v>
      </c>
    </row>
    <row r="33" ht="18.75" customHeight="1">
      <c r="B33" s="42" t="s">
        <v>147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B3:D3"/>
    <mergeCell ref="B32:D32"/>
    <mergeCell ref="B33:D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44.0"/>
    <col customWidth="1" min="3" max="11" width="11.0"/>
    <col customWidth="1" min="12" max="12" width="48.0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.0" customHeight="1">
      <c r="A2" s="1"/>
      <c r="B2" s="4" t="s">
        <v>6</v>
      </c>
      <c r="C2" s="3"/>
      <c r="D2" s="3"/>
      <c r="E2" s="3"/>
      <c r="F2" s="3"/>
      <c r="G2" s="3"/>
      <c r="H2" s="3"/>
      <c r="I2" s="3"/>
      <c r="J2" s="3"/>
      <c r="K2" s="3"/>
      <c r="L2" s="5"/>
    </row>
    <row r="3" ht="27.75" customHeight="1">
      <c r="A3" s="1"/>
      <c r="B3" s="6" t="s">
        <v>15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5.0" customHeight="1">
      <c r="A5" s="1"/>
      <c r="B5" s="1"/>
      <c r="C5" s="17" t="s">
        <v>18</v>
      </c>
      <c r="D5" s="14"/>
      <c r="E5" s="15"/>
      <c r="F5" s="16" t="s">
        <v>20</v>
      </c>
      <c r="G5" s="15"/>
      <c r="H5" s="18" t="s">
        <v>24</v>
      </c>
      <c r="I5" s="15"/>
      <c r="J5" s="16" t="s">
        <v>31</v>
      </c>
      <c r="K5" s="15"/>
      <c r="L5" s="1"/>
    </row>
    <row r="6" ht="15.0" customHeight="1">
      <c r="A6" s="1"/>
      <c r="B6" s="22" t="s">
        <v>21</v>
      </c>
      <c r="C6" s="10" t="s">
        <v>37</v>
      </c>
      <c r="D6" s="10" t="s">
        <v>38</v>
      </c>
      <c r="E6" s="10" t="s">
        <v>39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9</v>
      </c>
      <c r="K6" s="10" t="s">
        <v>10</v>
      </c>
      <c r="L6" s="8" t="s">
        <v>45</v>
      </c>
    </row>
    <row r="7" ht="15.0" customHeight="1">
      <c r="A7" s="1"/>
      <c r="B7" s="26" t="s">
        <v>47</v>
      </c>
      <c r="C7" s="27"/>
      <c r="D7" s="27"/>
      <c r="E7" s="27"/>
      <c r="F7" s="27"/>
      <c r="G7" s="27"/>
      <c r="H7" s="27"/>
      <c r="I7" s="27"/>
      <c r="J7" s="27"/>
      <c r="K7" s="27"/>
      <c r="L7" s="27"/>
    </row>
    <row r="8" ht="15.0" customHeight="1">
      <c r="A8" s="1"/>
      <c r="B8" s="11" t="s">
        <v>52</v>
      </c>
      <c r="C8" s="29">
        <v>0.0</v>
      </c>
      <c r="D8" s="29">
        <v>3.0</v>
      </c>
      <c r="E8" s="29">
        <v>24.0</v>
      </c>
      <c r="F8" s="30">
        <v>0.0</v>
      </c>
      <c r="G8" s="30">
        <v>5.82</v>
      </c>
      <c r="H8" s="30">
        <v>0.0</v>
      </c>
      <c r="I8" s="30">
        <v>11.52</v>
      </c>
      <c r="J8" s="32"/>
      <c r="K8" s="32"/>
      <c r="L8" s="21" t="s">
        <v>66</v>
      </c>
    </row>
    <row r="9" ht="15.0" customHeight="1">
      <c r="A9" s="1"/>
      <c r="B9" s="23" t="s">
        <v>69</v>
      </c>
      <c r="C9" s="29">
        <v>0.0</v>
      </c>
      <c r="D9" s="29">
        <v>3.5</v>
      </c>
      <c r="E9" s="29">
        <v>26.0</v>
      </c>
      <c r="F9" s="30">
        <v>0.0</v>
      </c>
      <c r="G9" s="30">
        <v>7.4</v>
      </c>
      <c r="H9" s="30">
        <v>0.0</v>
      </c>
      <c r="I9" s="30">
        <v>13.0</v>
      </c>
      <c r="J9" s="32"/>
      <c r="K9" s="32"/>
      <c r="L9" s="21" t="s">
        <v>75</v>
      </c>
    </row>
    <row r="10" ht="15.0" customHeight="1">
      <c r="A10" s="1"/>
      <c r="B10" s="11" t="s">
        <v>77</v>
      </c>
      <c r="C10" s="29">
        <v>0.0</v>
      </c>
      <c r="D10" s="29">
        <v>-0.5</v>
      </c>
      <c r="E10" s="29">
        <v>-2.0</v>
      </c>
      <c r="F10" s="30">
        <v>0.0</v>
      </c>
      <c r="G10" s="30">
        <v>-1.58</v>
      </c>
      <c r="H10" s="30">
        <v>0.0</v>
      </c>
      <c r="I10" s="30">
        <v>-1.48</v>
      </c>
      <c r="J10" s="32"/>
      <c r="K10" s="32"/>
      <c r="L10" s="21" t="s">
        <v>81</v>
      </c>
    </row>
    <row r="11" ht="15.0" customHeight="1">
      <c r="A11" s="1"/>
      <c r="B11" s="23" t="s">
        <v>82</v>
      </c>
      <c r="C11" s="35"/>
      <c r="D11" s="35"/>
      <c r="E11" s="35"/>
      <c r="F11" s="30">
        <v>6.23</v>
      </c>
      <c r="G11" s="30">
        <v>32.61</v>
      </c>
      <c r="H11" s="30">
        <v>13.26</v>
      </c>
      <c r="I11" s="30">
        <v>53.78</v>
      </c>
      <c r="J11" s="32"/>
      <c r="K11" s="32"/>
      <c r="L11" s="21" t="s">
        <v>90</v>
      </c>
    </row>
    <row r="12" ht="15.0" customHeight="1">
      <c r="A12" s="1"/>
      <c r="B12" s="23" t="s">
        <v>91</v>
      </c>
      <c r="C12" s="35"/>
      <c r="D12" s="35"/>
      <c r="E12" s="35"/>
      <c r="F12" s="30">
        <v>2.58</v>
      </c>
      <c r="G12" s="30">
        <v>10.77</v>
      </c>
      <c r="H12" s="30">
        <v>4.27</v>
      </c>
      <c r="I12" s="30">
        <v>25.02</v>
      </c>
      <c r="J12" s="32"/>
      <c r="K12" s="32"/>
      <c r="L12" s="21" t="s">
        <v>97</v>
      </c>
    </row>
    <row r="13" ht="15.0" customHeight="1">
      <c r="A13" s="1"/>
      <c r="B13" s="23" t="s">
        <v>99</v>
      </c>
      <c r="C13" s="35"/>
      <c r="D13" s="35"/>
      <c r="E13" s="35"/>
      <c r="F13" s="30">
        <v>8.8</v>
      </c>
      <c r="G13" s="30">
        <v>44.73</v>
      </c>
      <c r="H13" s="30">
        <v>17.52</v>
      </c>
      <c r="I13" s="30">
        <v>81.51</v>
      </c>
      <c r="J13" s="32"/>
      <c r="K13" s="32"/>
      <c r="L13" s="21" t="s">
        <v>108</v>
      </c>
    </row>
    <row r="14" ht="15.0" customHeight="1">
      <c r="A14" s="1"/>
      <c r="B14" s="11" t="s">
        <v>109</v>
      </c>
      <c r="C14" s="29">
        <v>-30.0</v>
      </c>
      <c r="D14" s="29">
        <v>-60.0</v>
      </c>
      <c r="E14" s="29">
        <v>-160.0</v>
      </c>
      <c r="F14" s="30">
        <v>-8.8</v>
      </c>
      <c r="G14" s="30">
        <v>-46.31</v>
      </c>
      <c r="H14" s="30">
        <v>-17.52</v>
      </c>
      <c r="I14" s="30">
        <v>-82.99</v>
      </c>
      <c r="J14" s="32"/>
      <c r="K14" s="32"/>
      <c r="L14" s="21" t="s">
        <v>110</v>
      </c>
    </row>
    <row r="15" ht="15.0" customHeight="1">
      <c r="A15" s="1"/>
      <c r="B15" s="23" t="s">
        <v>111</v>
      </c>
      <c r="C15" s="35"/>
      <c r="D15" s="35"/>
      <c r="E15" s="35"/>
      <c r="F15" s="30">
        <v>0.77</v>
      </c>
      <c r="G15" s="30">
        <v>14.95</v>
      </c>
      <c r="H15" s="30">
        <v>0.95</v>
      </c>
      <c r="I15" s="30">
        <v>26.92</v>
      </c>
      <c r="J15" s="32"/>
      <c r="K15" s="32"/>
      <c r="L15" s="21" t="s">
        <v>115</v>
      </c>
    </row>
    <row r="16" ht="15.0" customHeight="1">
      <c r="A16" s="1"/>
      <c r="B16" s="23" t="s">
        <v>117</v>
      </c>
      <c r="C16" s="35"/>
      <c r="D16" s="35"/>
      <c r="E16" s="35"/>
      <c r="F16" s="30">
        <v>-134.66</v>
      </c>
      <c r="G16" s="30">
        <v>22.42</v>
      </c>
      <c r="H16" s="30">
        <v>-74.36</v>
      </c>
      <c r="I16" s="30">
        <v>-21.14</v>
      </c>
      <c r="J16" s="32"/>
      <c r="K16" s="32"/>
      <c r="L16" s="21" t="s">
        <v>122</v>
      </c>
    </row>
    <row r="17" ht="15.0" customHeight="1">
      <c r="A17" s="1"/>
      <c r="B17" s="11" t="s">
        <v>125</v>
      </c>
      <c r="C17" s="29">
        <v>-45.0</v>
      </c>
      <c r="D17" s="29">
        <v>-90.0</v>
      </c>
      <c r="E17" s="29">
        <v>-155.0</v>
      </c>
      <c r="F17" s="30">
        <v>-142.51</v>
      </c>
      <c r="G17" s="30">
        <v>-10.33</v>
      </c>
      <c r="H17" s="30">
        <v>-90.67</v>
      </c>
      <c r="I17" s="30">
        <v>-77.32</v>
      </c>
      <c r="J17" s="32"/>
      <c r="K17" s="32"/>
      <c r="L17" s="21" t="s">
        <v>131</v>
      </c>
    </row>
    <row r="18" ht="15.0" customHeight="1">
      <c r="A18" s="1"/>
      <c r="B18" s="23" t="s">
        <v>133</v>
      </c>
      <c r="C18" s="35"/>
      <c r="D18" s="35"/>
      <c r="E18" s="35"/>
      <c r="F18" s="30">
        <v>-19.1</v>
      </c>
      <c r="G18" s="30">
        <v>-33.5</v>
      </c>
      <c r="H18" s="30">
        <v>-28.0</v>
      </c>
      <c r="I18" s="30">
        <v>-57.6</v>
      </c>
      <c r="J18" s="32"/>
      <c r="K18" s="32"/>
      <c r="L18" s="21" t="s">
        <v>137</v>
      </c>
    </row>
    <row r="19" ht="15.0" customHeight="1">
      <c r="A19" s="1"/>
      <c r="B19" s="23" t="s">
        <v>139</v>
      </c>
      <c r="C19" s="35"/>
      <c r="D19" s="35"/>
      <c r="E19" s="35"/>
      <c r="F19" s="40">
        <v>-1.54</v>
      </c>
      <c r="G19" s="40">
        <v>-0.05</v>
      </c>
      <c r="H19" s="40">
        <v>-0.99</v>
      </c>
      <c r="I19" s="40">
        <v>-0.37</v>
      </c>
      <c r="J19" s="32"/>
      <c r="K19" s="32"/>
      <c r="L19" s="21" t="s">
        <v>146</v>
      </c>
    </row>
    <row r="20" ht="15.0" customHeight="1">
      <c r="A20" s="1"/>
      <c r="B20" s="23" t="s">
        <v>148</v>
      </c>
      <c r="C20" s="35"/>
      <c r="D20" s="43">
        <v>148.1</v>
      </c>
      <c r="E20" s="35"/>
      <c r="F20" s="44">
        <v>92.8</v>
      </c>
      <c r="G20" s="44">
        <v>230.1</v>
      </c>
      <c r="H20" s="44">
        <v>91.6</v>
      </c>
      <c r="I20" s="44">
        <v>213.3</v>
      </c>
      <c r="J20" s="44">
        <v>148.1</v>
      </c>
      <c r="K20" s="44">
        <v>244.7</v>
      </c>
      <c r="L20" s="21" t="s">
        <v>151</v>
      </c>
    </row>
    <row r="21" ht="15.0" customHeight="1">
      <c r="A21" s="1"/>
      <c r="B21" s="26" t="s">
        <v>152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ht="15.0" customHeight="1">
      <c r="A22" s="1"/>
      <c r="B22" s="23" t="s">
        <v>16</v>
      </c>
      <c r="C22" s="35"/>
      <c r="D22" s="35"/>
      <c r="E22" s="35"/>
      <c r="F22" s="32"/>
      <c r="G22" s="32"/>
      <c r="H22" s="32"/>
      <c r="I22" s="32"/>
      <c r="J22" s="30">
        <v>359.9</v>
      </c>
      <c r="K22" s="30">
        <v>1530.1</v>
      </c>
      <c r="L22" s="21" t="s">
        <v>154</v>
      </c>
    </row>
    <row r="23" ht="15.0" customHeight="1">
      <c r="A23" s="1"/>
      <c r="B23" s="23" t="s">
        <v>155</v>
      </c>
      <c r="C23" s="35"/>
      <c r="D23" s="35"/>
      <c r="E23" s="35"/>
      <c r="F23" s="32"/>
      <c r="G23" s="32"/>
      <c r="H23" s="32"/>
      <c r="I23" s="32"/>
      <c r="J23" s="30">
        <v>0.0</v>
      </c>
      <c r="K23" s="30">
        <v>64.2</v>
      </c>
      <c r="L23" s="21" t="s">
        <v>156</v>
      </c>
    </row>
    <row r="24" ht="15.0" customHeight="1">
      <c r="A24" s="1"/>
      <c r="B24" s="23" t="s">
        <v>157</v>
      </c>
      <c r="C24" s="35"/>
      <c r="D24" s="35"/>
      <c r="E24" s="35"/>
      <c r="F24" s="32"/>
      <c r="G24" s="32"/>
      <c r="H24" s="32"/>
      <c r="I24" s="32"/>
      <c r="J24" s="30">
        <v>3.76</v>
      </c>
      <c r="K24" s="30">
        <v>6.27</v>
      </c>
      <c r="L24" s="21" t="s">
        <v>158</v>
      </c>
    </row>
    <row r="25" ht="15.0" customHeight="1">
      <c r="A25" s="1"/>
      <c r="B25" s="23" t="s">
        <v>159</v>
      </c>
      <c r="C25" s="35"/>
      <c r="D25" s="35"/>
      <c r="E25" s="35"/>
      <c r="F25" s="32"/>
      <c r="G25" s="32"/>
      <c r="H25" s="32"/>
      <c r="I25" s="32"/>
      <c r="J25" s="30">
        <v>18.54</v>
      </c>
      <c r="K25" s="30">
        <v>50.14</v>
      </c>
      <c r="L25" s="21" t="s">
        <v>160</v>
      </c>
    </row>
    <row r="26" ht="15.0" customHeight="1">
      <c r="A26" s="1"/>
      <c r="B26" s="23" t="s">
        <v>56</v>
      </c>
      <c r="C26" s="35"/>
      <c r="D26" s="35"/>
      <c r="E26" s="35"/>
      <c r="F26" s="32"/>
      <c r="G26" s="32"/>
      <c r="H26" s="32"/>
      <c r="I26" s="32"/>
      <c r="J26" s="30">
        <v>385.4</v>
      </c>
      <c r="K26" s="30">
        <v>1672.6</v>
      </c>
      <c r="L26" s="21" t="s">
        <v>162</v>
      </c>
    </row>
    <row r="27" ht="15.0" customHeight="1">
      <c r="A27" s="1"/>
      <c r="B27" s="23" t="s">
        <v>163</v>
      </c>
      <c r="C27" s="35"/>
      <c r="D27" s="35"/>
      <c r="E27" s="35"/>
      <c r="F27" s="32"/>
      <c r="G27" s="32"/>
      <c r="H27" s="32"/>
      <c r="I27" s="32"/>
      <c r="J27" s="30">
        <v>86.4</v>
      </c>
      <c r="K27" s="30">
        <v>146.8</v>
      </c>
      <c r="L27" s="21" t="s">
        <v>164</v>
      </c>
    </row>
    <row r="28" ht="15.0" customHeight="1">
      <c r="A28" s="1"/>
      <c r="B28" s="23" t="s">
        <v>63</v>
      </c>
      <c r="C28" s="35"/>
      <c r="D28" s="35"/>
      <c r="E28" s="35"/>
      <c r="F28" s="32"/>
      <c r="G28" s="32"/>
      <c r="H28" s="32"/>
      <c r="I28" s="32"/>
      <c r="J28" s="30">
        <v>17.3</v>
      </c>
      <c r="K28" s="30">
        <v>17.3</v>
      </c>
      <c r="L28" s="21" t="s">
        <v>166</v>
      </c>
    </row>
    <row r="29" ht="15.0" customHeight="1">
      <c r="A29" s="1"/>
      <c r="B29" s="23" t="s">
        <v>168</v>
      </c>
      <c r="C29" s="35"/>
      <c r="D29" s="35"/>
      <c r="E29" s="35"/>
      <c r="F29" s="32"/>
      <c r="G29" s="32"/>
      <c r="H29" s="32"/>
      <c r="I29" s="32"/>
      <c r="J29" s="30">
        <v>203.5</v>
      </c>
      <c r="K29" s="30">
        <v>200.7</v>
      </c>
      <c r="L29" s="21" t="s">
        <v>169</v>
      </c>
    </row>
    <row r="30" ht="18.75" customHeight="1">
      <c r="A30" s="1"/>
      <c r="B30" s="23" t="s">
        <v>170</v>
      </c>
      <c r="C30" s="35"/>
      <c r="D30" s="35"/>
      <c r="E30" s="35"/>
      <c r="F30" s="32"/>
      <c r="G30" s="32"/>
      <c r="H30" s="32"/>
      <c r="I30" s="32"/>
      <c r="J30" s="30">
        <v>0.0</v>
      </c>
      <c r="K30" s="30">
        <v>912.1</v>
      </c>
      <c r="L30" s="21" t="s">
        <v>171</v>
      </c>
    </row>
    <row r="31" ht="15.0" customHeight="1">
      <c r="A31" s="1"/>
      <c r="B31" s="11" t="s">
        <v>79</v>
      </c>
      <c r="C31" s="35"/>
      <c r="D31" s="35"/>
      <c r="E31" s="35"/>
      <c r="F31" s="32"/>
      <c r="G31" s="32"/>
      <c r="H31" s="32"/>
      <c r="I31" s="32"/>
      <c r="J31" s="30">
        <v>695.0</v>
      </c>
      <c r="K31" s="30">
        <v>2998.8</v>
      </c>
      <c r="L31" s="21" t="s">
        <v>172</v>
      </c>
    </row>
    <row r="32" ht="15.0" customHeight="1">
      <c r="A32" s="1"/>
      <c r="B32" s="23" t="s">
        <v>173</v>
      </c>
      <c r="C32" s="35"/>
      <c r="D32" s="35"/>
      <c r="E32" s="35"/>
      <c r="F32" s="32"/>
      <c r="G32" s="32"/>
      <c r="H32" s="32"/>
      <c r="I32" s="32"/>
      <c r="J32" s="30">
        <v>25.1</v>
      </c>
      <c r="K32" s="30">
        <v>49.0</v>
      </c>
      <c r="L32" s="21" t="s">
        <v>174</v>
      </c>
    </row>
    <row r="33" ht="15.0" customHeight="1">
      <c r="A33" s="1"/>
      <c r="B33" s="23" t="s">
        <v>175</v>
      </c>
      <c r="C33" s="35"/>
      <c r="D33" s="35"/>
      <c r="E33" s="35"/>
      <c r="F33" s="32"/>
      <c r="G33" s="32"/>
      <c r="H33" s="32"/>
      <c r="I33" s="32"/>
      <c r="J33" s="30">
        <v>37.9</v>
      </c>
      <c r="K33" s="30">
        <v>51.0</v>
      </c>
      <c r="L33" s="21" t="s">
        <v>178</v>
      </c>
    </row>
    <row r="34" ht="18.75" customHeight="1">
      <c r="A34" s="1"/>
      <c r="B34" s="23" t="s">
        <v>95</v>
      </c>
      <c r="C34" s="35"/>
      <c r="D34" s="35"/>
      <c r="E34" s="35"/>
      <c r="F34" s="32"/>
      <c r="G34" s="32"/>
      <c r="H34" s="32"/>
      <c r="I34" s="32"/>
      <c r="J34" s="30">
        <v>19.5</v>
      </c>
      <c r="K34" s="30">
        <v>364.2</v>
      </c>
      <c r="L34" s="21" t="s">
        <v>179</v>
      </c>
    </row>
    <row r="35" ht="15.0" customHeight="1">
      <c r="A35" s="1"/>
      <c r="B35" s="11" t="s">
        <v>104</v>
      </c>
      <c r="C35" s="35"/>
      <c r="D35" s="35"/>
      <c r="E35" s="35"/>
      <c r="F35" s="32"/>
      <c r="G35" s="32"/>
      <c r="H35" s="32"/>
      <c r="I35" s="32"/>
      <c r="J35" s="30">
        <v>191.8</v>
      </c>
      <c r="K35" s="30">
        <v>451.5</v>
      </c>
      <c r="L35" s="21" t="s">
        <v>180</v>
      </c>
    </row>
    <row r="36" ht="15.0" customHeight="1">
      <c r="A36" s="1"/>
      <c r="B36" s="23" t="s">
        <v>181</v>
      </c>
      <c r="C36" s="35"/>
      <c r="D36" s="35"/>
      <c r="E36" s="35"/>
      <c r="F36" s="32"/>
      <c r="G36" s="32"/>
      <c r="H36" s="32"/>
      <c r="I36" s="32"/>
      <c r="J36" s="30">
        <v>8.9</v>
      </c>
      <c r="K36" s="30">
        <v>10.3</v>
      </c>
      <c r="L36" s="21" t="s">
        <v>183</v>
      </c>
    </row>
    <row r="37" ht="15.0" customHeight="1">
      <c r="A37" s="1"/>
      <c r="B37" s="23" t="s">
        <v>184</v>
      </c>
      <c r="C37" s="35"/>
      <c r="D37" s="35"/>
      <c r="E37" s="35"/>
      <c r="F37" s="32"/>
      <c r="G37" s="32"/>
      <c r="H37" s="32"/>
      <c r="I37" s="32"/>
      <c r="J37" s="30">
        <v>1.7</v>
      </c>
      <c r="K37" s="30">
        <v>-1.1</v>
      </c>
      <c r="L37" s="21" t="s">
        <v>187</v>
      </c>
    </row>
    <row r="38" ht="15.0" customHeight="1">
      <c r="A38" s="1"/>
      <c r="B38" s="11" t="s">
        <v>128</v>
      </c>
      <c r="C38" s="35"/>
      <c r="D38" s="35"/>
      <c r="E38" s="35"/>
      <c r="F38" s="32"/>
      <c r="G38" s="32"/>
      <c r="H38" s="32"/>
      <c r="I38" s="32"/>
      <c r="J38" s="30">
        <v>494.3</v>
      </c>
      <c r="K38" s="30">
        <v>2537.0</v>
      </c>
      <c r="L38" s="21" t="s">
        <v>188</v>
      </c>
    </row>
    <row r="39" ht="15.0" customHeight="1">
      <c r="A39" s="1"/>
      <c r="B39" s="23" t="s">
        <v>55</v>
      </c>
      <c r="C39" s="35"/>
      <c r="D39" s="35"/>
      <c r="E39" s="35"/>
      <c r="F39" s="32"/>
      <c r="G39" s="32"/>
      <c r="H39" s="32"/>
      <c r="I39" s="32"/>
      <c r="J39" s="30">
        <v>1.8</v>
      </c>
      <c r="K39" s="30">
        <v>0.0</v>
      </c>
      <c r="L39" s="21" t="s">
        <v>189</v>
      </c>
    </row>
    <row r="40" ht="15.0" customHeight="1">
      <c r="A40" s="1"/>
      <c r="B40" s="26" t="s">
        <v>190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ht="15.0" customHeight="1">
      <c r="A41" s="1"/>
      <c r="B41" s="23" t="s">
        <v>191</v>
      </c>
      <c r="C41" s="35"/>
      <c r="D41" s="35"/>
      <c r="E41" s="35"/>
      <c r="F41" s="32"/>
      <c r="G41" s="32"/>
      <c r="H41" s="30">
        <v>-18.24</v>
      </c>
      <c r="I41" s="30">
        <v>-75.32</v>
      </c>
      <c r="J41" s="32"/>
      <c r="K41" s="32"/>
      <c r="L41" s="21" t="s">
        <v>193</v>
      </c>
    </row>
    <row r="42" ht="15.0" customHeight="1">
      <c r="A42" s="1"/>
      <c r="B42" s="23" t="s">
        <v>194</v>
      </c>
      <c r="C42" s="35"/>
      <c r="D42" s="35"/>
      <c r="E42" s="35"/>
      <c r="F42" s="32"/>
      <c r="G42" s="32"/>
      <c r="H42" s="30">
        <v>-6.3</v>
      </c>
      <c r="I42" s="30">
        <v>-108.39</v>
      </c>
      <c r="J42" s="32"/>
      <c r="K42" s="32"/>
      <c r="L42" s="21" t="s">
        <v>195</v>
      </c>
    </row>
    <row r="43" ht="15.0" customHeight="1">
      <c r="A43" s="1"/>
      <c r="B43" s="26" t="s">
        <v>196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ht="15.0" customHeight="1">
      <c r="A44" s="1"/>
      <c r="B44" s="23" t="s">
        <v>197</v>
      </c>
      <c r="C44" s="35"/>
      <c r="D44" s="35"/>
      <c r="E44" s="35"/>
      <c r="F44" s="32"/>
      <c r="G44" s="32"/>
      <c r="H44" s="32"/>
      <c r="I44" s="32"/>
      <c r="J44" s="32"/>
      <c r="K44" s="40">
        <v>17.34</v>
      </c>
      <c r="L44" s="21" t="s">
        <v>199</v>
      </c>
    </row>
    <row r="45" ht="15.0" customHeight="1">
      <c r="A45" s="1"/>
      <c r="B45" s="23" t="s">
        <v>200</v>
      </c>
      <c r="C45" s="35"/>
      <c r="D45" s="35"/>
      <c r="E45" s="35"/>
      <c r="F45" s="32"/>
      <c r="G45" s="32"/>
      <c r="H45" s="32"/>
      <c r="I45" s="32"/>
      <c r="J45" s="32"/>
      <c r="K45" s="49">
        <v>750.0</v>
      </c>
      <c r="L45" s="21" t="s">
        <v>201</v>
      </c>
    </row>
    <row r="46" ht="15.0" customHeight="1">
      <c r="A46" s="1"/>
      <c r="B46" s="23" t="s">
        <v>202</v>
      </c>
      <c r="C46" s="35"/>
      <c r="D46" s="35"/>
      <c r="E46" s="35"/>
      <c r="F46" s="32"/>
      <c r="G46" s="32"/>
      <c r="H46" s="32"/>
      <c r="I46" s="32"/>
      <c r="J46" s="32"/>
      <c r="K46" s="49">
        <v>1577.0</v>
      </c>
      <c r="L46" s="21" t="s">
        <v>203</v>
      </c>
    </row>
    <row r="47" ht="15.0" customHeight="1">
      <c r="A47" s="1"/>
      <c r="B47" s="26" t="s">
        <v>204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ht="15.0" customHeight="1">
      <c r="A48" s="1"/>
      <c r="B48" s="23" t="s">
        <v>205</v>
      </c>
      <c r="C48" s="35"/>
      <c r="D48" s="35"/>
      <c r="E48" s="35"/>
      <c r="F48" s="32"/>
      <c r="G48" s="32"/>
      <c r="H48" s="32"/>
      <c r="I48" s="32"/>
      <c r="J48" s="32"/>
      <c r="K48" s="50">
        <v>0.043</v>
      </c>
      <c r="L48" s="21" t="s">
        <v>206</v>
      </c>
    </row>
    <row r="49" ht="15.0" customHeight="1">
      <c r="A49" s="1"/>
      <c r="B49" s="23" t="s">
        <v>207</v>
      </c>
      <c r="C49" s="35"/>
      <c r="D49" s="35"/>
      <c r="E49" s="35"/>
      <c r="F49" s="32"/>
      <c r="G49" s="32"/>
      <c r="H49" s="32"/>
      <c r="I49" s="32"/>
      <c r="J49" s="32"/>
      <c r="K49" s="50">
        <v>0.055</v>
      </c>
      <c r="L49" s="21" t="s">
        <v>208</v>
      </c>
    </row>
    <row r="50" ht="15.0" customHeight="1">
      <c r="A50" s="1"/>
      <c r="B50" s="23" t="s">
        <v>209</v>
      </c>
      <c r="C50" s="35"/>
      <c r="D50" s="35"/>
      <c r="E50" s="35"/>
      <c r="F50" s="32"/>
      <c r="G50" s="32"/>
      <c r="H50" s="32"/>
      <c r="I50" s="32"/>
      <c r="J50" s="32"/>
      <c r="K50" s="51">
        <v>1.7</v>
      </c>
      <c r="L50" s="21" t="s">
        <v>210</v>
      </c>
    </row>
    <row r="51" ht="15.0" customHeight="1">
      <c r="A51" s="1"/>
      <c r="B51" s="23" t="s">
        <v>211</v>
      </c>
      <c r="C51" s="35"/>
      <c r="D51" s="35"/>
      <c r="E51" s="35"/>
      <c r="F51" s="32"/>
      <c r="G51" s="32"/>
      <c r="H51" s="32"/>
      <c r="I51" s="32"/>
      <c r="J51" s="32"/>
      <c r="K51" s="50">
        <v>0.21</v>
      </c>
      <c r="L51" s="21" t="s">
        <v>212</v>
      </c>
    </row>
    <row r="52" ht="15.0" customHeight="1">
      <c r="A52" s="1"/>
      <c r="B52" s="23" t="s">
        <v>213</v>
      </c>
      <c r="C52" s="35"/>
      <c r="D52" s="35"/>
      <c r="E52" s="35"/>
      <c r="F52" s="32"/>
      <c r="G52" s="32"/>
      <c r="H52" s="32"/>
      <c r="I52" s="32"/>
      <c r="J52" s="32"/>
      <c r="K52" s="50">
        <v>0.06</v>
      </c>
      <c r="L52" s="21" t="s">
        <v>214</v>
      </c>
    </row>
    <row r="53" ht="15.0" customHeight="1">
      <c r="A53" s="1"/>
      <c r="B53" s="23" t="s">
        <v>215</v>
      </c>
      <c r="C53" s="35"/>
      <c r="D53" s="35"/>
      <c r="E53" s="35"/>
      <c r="F53" s="32"/>
      <c r="G53" s="32"/>
      <c r="H53" s="32"/>
      <c r="I53" s="32"/>
      <c r="J53" s="32"/>
      <c r="K53" s="50">
        <v>0.25</v>
      </c>
      <c r="L53" s="21" t="s">
        <v>216</v>
      </c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0" customHeight="1">
      <c r="A55" s="1"/>
      <c r="B55" s="52" t="s">
        <v>218</v>
      </c>
    </row>
    <row r="56" ht="15.0" customHeight="1">
      <c r="A56" s="1"/>
      <c r="B56" s="52" t="s">
        <v>219</v>
      </c>
    </row>
    <row r="57" ht="15.0" customHeight="1">
      <c r="A57" s="1"/>
      <c r="B57" s="52" t="s">
        <v>220</v>
      </c>
    </row>
    <row r="58" ht="15.0" customHeight="1">
      <c r="A58" s="1"/>
      <c r="B58" s="52" t="s">
        <v>222</v>
      </c>
    </row>
    <row r="59" ht="15.0" customHeight="1">
      <c r="A59" s="1"/>
      <c r="B59" s="52" t="s">
        <v>223</v>
      </c>
    </row>
    <row r="60" ht="15.0" customHeight="1">
      <c r="A60" s="1"/>
      <c r="B60" s="52" t="s">
        <v>224</v>
      </c>
    </row>
    <row r="61" ht="15.0" customHeight="1">
      <c r="A61" s="1"/>
      <c r="B61" s="52" t="s">
        <v>225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23.25" customHeight="1">
      <c r="A63" s="1"/>
      <c r="B63" s="26" t="s">
        <v>227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ht="15.0" customHeight="1">
      <c r="A64" s="1"/>
      <c r="B64" s="23" t="s">
        <v>229</v>
      </c>
      <c r="C64" s="1"/>
      <c r="D64" s="1"/>
      <c r="E64" s="1"/>
      <c r="F64" s="1"/>
      <c r="G64" s="1"/>
      <c r="H64" s="1"/>
      <c r="I64" s="1"/>
      <c r="J64" s="1"/>
      <c r="K64" s="55">
        <v>24.0</v>
      </c>
      <c r="L64" s="21" t="s">
        <v>234</v>
      </c>
    </row>
    <row r="65" ht="15.0" customHeight="1">
      <c r="A65" s="1"/>
      <c r="B65" s="23" t="s">
        <v>235</v>
      </c>
      <c r="C65" s="1"/>
      <c r="D65" s="1"/>
      <c r="E65" s="1"/>
      <c r="F65" s="1"/>
      <c r="G65" s="1"/>
      <c r="H65" s="1"/>
      <c r="I65" s="1"/>
      <c r="J65" s="1"/>
      <c r="K65" s="57">
        <v>1.5</v>
      </c>
      <c r="L65" s="21" t="s">
        <v>238</v>
      </c>
    </row>
    <row r="66" ht="15.0" customHeight="1">
      <c r="A66" s="1"/>
      <c r="B66" s="23" t="s">
        <v>239</v>
      </c>
      <c r="C66" s="1"/>
      <c r="D66" s="1"/>
      <c r="E66" s="1"/>
      <c r="F66" s="1"/>
      <c r="G66" s="1"/>
      <c r="H66" s="1"/>
      <c r="I66" s="1"/>
      <c r="J66" s="1"/>
      <c r="K66" s="57">
        <v>1.3</v>
      </c>
      <c r="L66" s="21" t="s">
        <v>240</v>
      </c>
    </row>
    <row r="67" ht="15.0" customHeight="1">
      <c r="A67" s="1"/>
      <c r="B67" s="23" t="s">
        <v>241</v>
      </c>
      <c r="C67" s="1"/>
      <c r="D67" s="1"/>
      <c r="E67" s="1"/>
      <c r="F67" s="1"/>
      <c r="G67" s="1"/>
      <c r="H67" s="1"/>
      <c r="I67" s="1"/>
      <c r="J67" s="1"/>
      <c r="K67" s="57">
        <v>1.0</v>
      </c>
      <c r="L67" s="21" t="s">
        <v>242</v>
      </c>
    </row>
    <row r="68" ht="15.0" customHeight="1">
      <c r="A68" s="1"/>
      <c r="B68" s="23" t="s">
        <v>243</v>
      </c>
      <c r="C68" s="1"/>
      <c r="D68" s="1"/>
      <c r="E68" s="1"/>
      <c r="F68" s="1"/>
      <c r="G68" s="1"/>
      <c r="H68" s="1"/>
      <c r="I68" s="1"/>
      <c r="J68" s="1"/>
      <c r="K68" s="57">
        <v>0.7</v>
      </c>
      <c r="L68" s="21" t="s">
        <v>245</v>
      </c>
    </row>
    <row r="69" ht="15.0" customHeight="1">
      <c r="A69" s="1"/>
      <c r="B69" s="23" t="s">
        <v>246</v>
      </c>
      <c r="C69" s="1"/>
      <c r="D69" s="1"/>
      <c r="E69" s="1"/>
      <c r="F69" s="1"/>
      <c r="G69" s="1"/>
      <c r="H69" s="1"/>
      <c r="I69" s="1"/>
      <c r="J69" s="1"/>
      <c r="K69" s="57">
        <v>0.45</v>
      </c>
      <c r="L69" s="21" t="s">
        <v>247</v>
      </c>
    </row>
    <row r="70" ht="15.0" customHeight="1">
      <c r="A70" s="1"/>
      <c r="B70" s="23" t="s">
        <v>248</v>
      </c>
      <c r="C70" s="1"/>
      <c r="D70" s="1"/>
      <c r="E70" s="1"/>
      <c r="F70" s="1"/>
      <c r="G70" s="1"/>
      <c r="H70" s="1"/>
      <c r="I70" s="1"/>
      <c r="J70" s="1"/>
      <c r="K70" s="57">
        <v>-2.0</v>
      </c>
      <c r="L70" s="21" t="s">
        <v>249</v>
      </c>
    </row>
    <row r="71" ht="15.0" customHeight="1">
      <c r="A71" s="1"/>
      <c r="B71" s="23" t="s">
        <v>250</v>
      </c>
      <c r="C71" s="1"/>
      <c r="D71" s="1"/>
      <c r="E71" s="1"/>
      <c r="F71" s="1"/>
      <c r="G71" s="1"/>
      <c r="H71" s="1"/>
      <c r="I71" s="1"/>
      <c r="J71" s="1"/>
      <c r="K71" s="57">
        <v>-0.8</v>
      </c>
      <c r="L71" s="21" t="s">
        <v>252</v>
      </c>
    </row>
    <row r="72" ht="15.0" customHeight="1">
      <c r="A72" s="1"/>
      <c r="B72" s="23" t="s">
        <v>253</v>
      </c>
      <c r="C72" s="1"/>
      <c r="D72" s="1"/>
      <c r="E72" s="1"/>
      <c r="F72" s="1"/>
      <c r="G72" s="1"/>
      <c r="H72" s="1"/>
      <c r="I72" s="1"/>
      <c r="J72" s="1"/>
      <c r="K72" s="57">
        <v>-0.2</v>
      </c>
      <c r="L72" s="21" t="s">
        <v>254</v>
      </c>
    </row>
    <row r="73" ht="15.0" customHeight="1">
      <c r="A73" s="1"/>
      <c r="B73" s="23" t="s">
        <v>255</v>
      </c>
      <c r="C73" s="1"/>
      <c r="D73" s="1"/>
      <c r="E73" s="1"/>
      <c r="F73" s="1"/>
      <c r="G73" s="1"/>
      <c r="H73" s="1"/>
      <c r="I73" s="1"/>
      <c r="J73" s="1"/>
      <c r="K73" s="57">
        <v>0.12</v>
      </c>
      <c r="L73" s="21" t="s">
        <v>256</v>
      </c>
    </row>
    <row r="74" ht="15.0" customHeight="1">
      <c r="A74" s="1"/>
      <c r="B74" s="23" t="s">
        <v>258</v>
      </c>
      <c r="C74" s="1"/>
      <c r="D74" s="1"/>
      <c r="E74" s="1"/>
      <c r="F74" s="1"/>
      <c r="G74" s="1"/>
      <c r="H74" s="1"/>
      <c r="I74" s="1"/>
      <c r="J74" s="1"/>
      <c r="K74" s="57">
        <v>0.25</v>
      </c>
      <c r="L74" s="21" t="s">
        <v>259</v>
      </c>
    </row>
    <row r="75" ht="15.0" customHeight="1">
      <c r="A75" s="1"/>
      <c r="B75" s="23" t="s">
        <v>215</v>
      </c>
      <c r="C75" s="1"/>
      <c r="D75" s="1"/>
      <c r="E75" s="1"/>
      <c r="F75" s="1"/>
      <c r="G75" s="1"/>
      <c r="H75" s="1"/>
      <c r="I75" s="1"/>
      <c r="J75" s="1"/>
      <c r="K75" s="57">
        <v>0.25</v>
      </c>
      <c r="L75" s="21" t="s">
        <v>260</v>
      </c>
    </row>
    <row r="76" ht="15.0" customHeight="1">
      <c r="A76" s="1"/>
      <c r="B76" s="23" t="s">
        <v>261</v>
      </c>
      <c r="C76" s="1"/>
      <c r="D76" s="1"/>
      <c r="E76" s="1"/>
      <c r="F76" s="1"/>
      <c r="G76" s="1"/>
      <c r="H76" s="1"/>
      <c r="I76" s="1"/>
      <c r="J76" s="1"/>
      <c r="K76" s="57">
        <v>0.12</v>
      </c>
      <c r="L76" s="21" t="s">
        <v>263</v>
      </c>
    </row>
    <row r="77" ht="15.0" customHeight="1">
      <c r="A77" s="1"/>
      <c r="B77" s="23" t="s">
        <v>264</v>
      </c>
      <c r="C77" s="1"/>
      <c r="D77" s="1"/>
      <c r="E77" s="1"/>
      <c r="F77" s="1"/>
      <c r="G77" s="1"/>
      <c r="H77" s="1"/>
      <c r="I77" s="1"/>
      <c r="J77" s="1"/>
      <c r="K77" s="57">
        <v>0.4</v>
      </c>
      <c r="L77" s="21" t="s">
        <v>265</v>
      </c>
    </row>
    <row r="78" ht="15.0" customHeight="1">
      <c r="A78" s="1"/>
      <c r="B78" s="23" t="s">
        <v>266</v>
      </c>
      <c r="C78" s="1"/>
      <c r="D78" s="1"/>
      <c r="E78" s="1"/>
      <c r="F78" s="1"/>
      <c r="G78" s="1"/>
      <c r="H78" s="1"/>
      <c r="I78" s="1"/>
      <c r="J78" s="1"/>
      <c r="K78" s="57">
        <v>0.15</v>
      </c>
      <c r="L78" s="21" t="s">
        <v>267</v>
      </c>
    </row>
    <row r="79" ht="15.0" customHeight="1">
      <c r="A79" s="1"/>
      <c r="B79" s="23" t="s">
        <v>268</v>
      </c>
      <c r="C79" s="1"/>
      <c r="D79" s="1"/>
      <c r="E79" s="1"/>
      <c r="F79" s="1"/>
      <c r="G79" s="1"/>
      <c r="H79" s="1"/>
      <c r="I79" s="1"/>
      <c r="J79" s="1"/>
      <c r="K79" s="57">
        <v>0.035</v>
      </c>
      <c r="L79" s="21" t="s">
        <v>269</v>
      </c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3">
    <mergeCell ref="B56:L56"/>
    <mergeCell ref="B57:L57"/>
    <mergeCell ref="B58:L58"/>
    <mergeCell ref="B59:L59"/>
    <mergeCell ref="B60:L60"/>
    <mergeCell ref="B61:L61"/>
    <mergeCell ref="B2:L2"/>
    <mergeCell ref="B3:L3"/>
    <mergeCell ref="C5:E5"/>
    <mergeCell ref="F5:G5"/>
    <mergeCell ref="H5:I5"/>
    <mergeCell ref="J5:K5"/>
    <mergeCell ref="B55:L5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11" width="11.0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1.75" customHeight="1">
      <c r="A2" s="1"/>
      <c r="B2" s="4" t="s">
        <v>2</v>
      </c>
      <c r="C2" s="3"/>
      <c r="D2" s="3"/>
      <c r="E2" s="3"/>
      <c r="F2" s="3"/>
      <c r="G2" s="3"/>
      <c r="H2" s="3"/>
      <c r="I2" s="3"/>
      <c r="J2" s="3"/>
      <c r="K2" s="5"/>
    </row>
    <row r="3" ht="25.5" customHeight="1">
      <c r="A3" s="1"/>
      <c r="B3" s="6" t="s">
        <v>7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3" t="s">
        <v>13</v>
      </c>
      <c r="D5" s="14"/>
      <c r="E5" s="15"/>
      <c r="F5" s="16" t="s">
        <v>17</v>
      </c>
      <c r="G5" s="14"/>
      <c r="H5" s="15"/>
      <c r="I5" s="18" t="s">
        <v>19</v>
      </c>
      <c r="J5" s="14"/>
      <c r="K5" s="15"/>
    </row>
    <row r="6" ht="15.0" customHeight="1">
      <c r="A6" s="1"/>
      <c r="B6" s="10" t="s">
        <v>21</v>
      </c>
      <c r="C6" s="10" t="s">
        <v>22</v>
      </c>
      <c r="D6" s="10" t="s">
        <v>23</v>
      </c>
      <c r="E6" s="10" t="s">
        <v>25</v>
      </c>
      <c r="F6" s="10" t="s">
        <v>26</v>
      </c>
      <c r="G6" s="10" t="s">
        <v>27</v>
      </c>
      <c r="H6" s="10" t="s">
        <v>28</v>
      </c>
      <c r="I6" s="10" t="s">
        <v>29</v>
      </c>
      <c r="J6" s="10" t="s">
        <v>30</v>
      </c>
      <c r="K6" s="10" t="s">
        <v>28</v>
      </c>
    </row>
    <row r="7" ht="15.0" customHeight="1">
      <c r="A7" s="1"/>
      <c r="B7" s="11" t="s">
        <v>33</v>
      </c>
      <c r="C7" s="19">
        <f>DATOS!C8</f>
        <v>0</v>
      </c>
      <c r="D7" s="19">
        <f>DATOS!D8</f>
        <v>3</v>
      </c>
      <c r="E7" s="19">
        <f>DATOS!E8</f>
        <v>24</v>
      </c>
      <c r="F7" s="19">
        <f>DATOS!F8</f>
        <v>0</v>
      </c>
      <c r="G7" s="19">
        <f>DATOS!G8</f>
        <v>5.82</v>
      </c>
      <c r="H7" s="31" t="str">
        <f>IFERROR((DATOS!G8-DATOS!F8)/ABS(DATOS!F8),"—")</f>
        <v>—</v>
      </c>
      <c r="I7" s="19">
        <f>DATOS!H8</f>
        <v>0</v>
      </c>
      <c r="J7" s="19">
        <f>DATOS!I8</f>
        <v>11.52</v>
      </c>
      <c r="K7" s="31" t="str">
        <f>IFERROR((DATOS!I8-DATOS!H8)/ABS(DATOS!H8),"—")</f>
        <v>—</v>
      </c>
    </row>
    <row r="8" ht="15.0" customHeight="1">
      <c r="A8" s="1"/>
      <c r="B8" s="23" t="s">
        <v>69</v>
      </c>
      <c r="C8" s="25">
        <f>DATOS!C9</f>
        <v>0</v>
      </c>
      <c r="D8" s="25">
        <f>DATOS!D9</f>
        <v>3.5</v>
      </c>
      <c r="E8" s="25">
        <f>DATOS!E9</f>
        <v>26</v>
      </c>
      <c r="F8" s="25">
        <f>DATOS!F9</f>
        <v>0</v>
      </c>
      <c r="G8" s="25">
        <f>DATOS!G9</f>
        <v>7.4</v>
      </c>
      <c r="H8" s="31" t="str">
        <f>IFERROR((DATOS!G9-DATOS!F9)/ABS(DATOS!F9),"—")</f>
        <v>—</v>
      </c>
      <c r="I8" s="25">
        <f>DATOS!H9</f>
        <v>0</v>
      </c>
      <c r="J8" s="25">
        <f>DATOS!I9</f>
        <v>13</v>
      </c>
      <c r="K8" s="31" t="str">
        <f>IFERROR((DATOS!I9-DATOS!H9)/ABS(DATOS!H9),"—")</f>
        <v>—</v>
      </c>
    </row>
    <row r="9" ht="15.0" customHeight="1">
      <c r="A9" s="1"/>
      <c r="B9" s="11" t="s">
        <v>118</v>
      </c>
      <c r="C9" s="19">
        <f>DATOS!C10</f>
        <v>0</v>
      </c>
      <c r="D9" s="19">
        <f>DATOS!D10</f>
        <v>-0.5</v>
      </c>
      <c r="E9" s="19">
        <f>DATOS!E10</f>
        <v>-2</v>
      </c>
      <c r="F9" s="19">
        <f>DATOS!F10</f>
        <v>0</v>
      </c>
      <c r="G9" s="19">
        <f>DATOS!G10</f>
        <v>-1.58</v>
      </c>
      <c r="H9" s="31" t="str">
        <f>IFERROR((DATOS!G10-DATOS!F10)/ABS(DATOS!F10),"—")</f>
        <v>—</v>
      </c>
      <c r="I9" s="19">
        <f>DATOS!H10</f>
        <v>0</v>
      </c>
      <c r="J9" s="19">
        <f>DATOS!I10</f>
        <v>-1.48</v>
      </c>
      <c r="K9" s="31" t="str">
        <f>IFERROR((DATOS!I10-DATOS!H10)/ABS(DATOS!H10),"—")</f>
        <v>—</v>
      </c>
    </row>
    <row r="10" ht="15.0" customHeight="1">
      <c r="A10" s="1"/>
      <c r="B10" s="23" t="s">
        <v>161</v>
      </c>
      <c r="C10" s="25" t="str">
        <f>DATOS!C11</f>
        <v/>
      </c>
      <c r="D10" s="25" t="str">
        <f>DATOS!D11</f>
        <v/>
      </c>
      <c r="E10" s="25" t="str">
        <f>DATOS!E11</f>
        <v/>
      </c>
      <c r="F10" s="25">
        <f>DATOS!F11</f>
        <v>6.23</v>
      </c>
      <c r="G10" s="25">
        <f>DATOS!G11</f>
        <v>32.61</v>
      </c>
      <c r="H10" s="31">
        <f>IFERROR((DATOS!G11-DATOS!F11)/ABS(DATOS!F11),"—")</f>
        <v>4.23434992</v>
      </c>
      <c r="I10" s="25">
        <f>DATOS!H11</f>
        <v>13.26</v>
      </c>
      <c r="J10" s="25">
        <f>DATOS!I11</f>
        <v>53.78</v>
      </c>
      <c r="K10" s="31">
        <f>IFERROR((DATOS!I11-DATOS!H11)/ABS(DATOS!H11),"—")</f>
        <v>3.055806938</v>
      </c>
    </row>
    <row r="11" ht="15.0" customHeight="1">
      <c r="A11" s="1"/>
      <c r="B11" s="23" t="s">
        <v>182</v>
      </c>
      <c r="C11" s="25" t="str">
        <f>DATOS!C12</f>
        <v/>
      </c>
      <c r="D11" s="25" t="str">
        <f>DATOS!D12</f>
        <v/>
      </c>
      <c r="E11" s="25" t="str">
        <f>DATOS!E12</f>
        <v/>
      </c>
      <c r="F11" s="25">
        <f>DATOS!F12</f>
        <v>2.58</v>
      </c>
      <c r="G11" s="25">
        <f>DATOS!G12</f>
        <v>10.77</v>
      </c>
      <c r="H11" s="31">
        <f>IFERROR((DATOS!G12-DATOS!F12)/ABS(DATOS!F12),"—")</f>
        <v>3.174418605</v>
      </c>
      <c r="I11" s="25">
        <f>DATOS!H12</f>
        <v>4.27</v>
      </c>
      <c r="J11" s="25">
        <f>DATOS!I12</f>
        <v>25.02</v>
      </c>
      <c r="K11" s="31">
        <f>IFERROR((DATOS!I12-DATOS!H12)/ABS(DATOS!H12),"—")</f>
        <v>4.859484778</v>
      </c>
    </row>
    <row r="12" ht="15.0" customHeight="1">
      <c r="A12" s="1"/>
      <c r="B12" s="11" t="s">
        <v>109</v>
      </c>
      <c r="C12" s="19">
        <f>DATOS!C14</f>
        <v>-30</v>
      </c>
      <c r="D12" s="19">
        <f>DATOS!D14</f>
        <v>-60</v>
      </c>
      <c r="E12" s="19">
        <f>DATOS!E14</f>
        <v>-160</v>
      </c>
      <c r="F12" s="19">
        <f>DATOS!F14</f>
        <v>-8.8</v>
      </c>
      <c r="G12" s="19">
        <f>DATOS!G14</f>
        <v>-46.31</v>
      </c>
      <c r="H12" s="31">
        <f>IFERROR((DATOS!G14-DATOS!F14)/ABS(DATOS!F14),"—")</f>
        <v>-4.2625</v>
      </c>
      <c r="I12" s="19">
        <f>DATOS!H14</f>
        <v>-17.52</v>
      </c>
      <c r="J12" s="19">
        <f>DATOS!I14</f>
        <v>-82.99</v>
      </c>
      <c r="K12" s="31">
        <f>IFERROR((DATOS!I14-DATOS!H14)/ABS(DATOS!H14),"—")</f>
        <v>-3.736872146</v>
      </c>
    </row>
    <row r="13" ht="15.0" customHeight="1">
      <c r="A13" s="1"/>
      <c r="B13" s="23" t="s">
        <v>217</v>
      </c>
      <c r="C13" s="25" t="str">
        <f>DATOS!C15</f>
        <v/>
      </c>
      <c r="D13" s="25" t="str">
        <f>DATOS!D15</f>
        <v/>
      </c>
      <c r="E13" s="25" t="str">
        <f>DATOS!E15</f>
        <v/>
      </c>
      <c r="F13" s="25">
        <f>DATOS!F15</f>
        <v>0.77</v>
      </c>
      <c r="G13" s="25">
        <f>DATOS!G15</f>
        <v>14.95</v>
      </c>
      <c r="H13" s="31">
        <f>IFERROR((DATOS!G15-DATOS!F15)/ABS(DATOS!F15),"—")</f>
        <v>18.41558442</v>
      </c>
      <c r="I13" s="25">
        <f>DATOS!H15</f>
        <v>0.95</v>
      </c>
      <c r="J13" s="25">
        <f>DATOS!I15</f>
        <v>26.92</v>
      </c>
      <c r="K13" s="31">
        <f>IFERROR((DATOS!I15-DATOS!H15)/ABS(DATOS!H15),"—")</f>
        <v>27.33684211</v>
      </c>
    </row>
    <row r="14" ht="15.0" customHeight="1">
      <c r="A14" s="1"/>
      <c r="B14" s="23" t="s">
        <v>237</v>
      </c>
      <c r="C14" s="25" t="str">
        <f>DATOS!C16</f>
        <v/>
      </c>
      <c r="D14" s="25" t="str">
        <f>DATOS!D16</f>
        <v/>
      </c>
      <c r="E14" s="25" t="str">
        <f>DATOS!E16</f>
        <v/>
      </c>
      <c r="F14" s="25">
        <f>DATOS!F16</f>
        <v>-134.66</v>
      </c>
      <c r="G14" s="25">
        <f>DATOS!G16</f>
        <v>22.42</v>
      </c>
      <c r="H14" s="31">
        <f>IFERROR((DATOS!G16-DATOS!F16)/ABS(DATOS!F16),"—")</f>
        <v>1.166493391</v>
      </c>
      <c r="I14" s="25">
        <f>DATOS!H16</f>
        <v>-74.36</v>
      </c>
      <c r="J14" s="25">
        <f>DATOS!I16</f>
        <v>-21.14</v>
      </c>
      <c r="K14" s="31">
        <f>IFERROR((DATOS!I16-DATOS!H16)/ABS(DATOS!H16),"—")</f>
        <v>0.7157073696</v>
      </c>
    </row>
    <row r="15" ht="15.0" customHeight="1">
      <c r="A15" s="1"/>
      <c r="B15" s="11" t="s">
        <v>257</v>
      </c>
      <c r="C15" s="19">
        <f>DATOS!C17</f>
        <v>-45</v>
      </c>
      <c r="D15" s="19">
        <f>DATOS!D17</f>
        <v>-90</v>
      </c>
      <c r="E15" s="19">
        <f>DATOS!E17</f>
        <v>-155</v>
      </c>
      <c r="F15" s="19">
        <f>DATOS!F17</f>
        <v>-142.51</v>
      </c>
      <c r="G15" s="19">
        <f>DATOS!G17</f>
        <v>-10.33</v>
      </c>
      <c r="H15" s="31">
        <f>IFERROR((DATOS!G17-DATOS!F17)/ABS(DATOS!F17),"—")</f>
        <v>0.9275138587</v>
      </c>
      <c r="I15" s="19">
        <f>DATOS!H17</f>
        <v>-90.67</v>
      </c>
      <c r="J15" s="19">
        <f>DATOS!I17</f>
        <v>-77.32</v>
      </c>
      <c r="K15" s="31">
        <f>IFERROR((DATOS!I17-DATOS!H17)/ABS(DATOS!H17),"—")</f>
        <v>0.1472372339</v>
      </c>
    </row>
    <row r="16" ht="15.0" customHeight="1">
      <c r="A16" s="1"/>
      <c r="B16" s="23" t="s">
        <v>133</v>
      </c>
      <c r="C16" s="25" t="str">
        <f>DATOS!C18</f>
        <v/>
      </c>
      <c r="D16" s="25" t="str">
        <f>DATOS!D18</f>
        <v/>
      </c>
      <c r="E16" s="25" t="str">
        <f>DATOS!E18</f>
        <v/>
      </c>
      <c r="F16" s="25">
        <f>DATOS!F18</f>
        <v>-19.1</v>
      </c>
      <c r="G16" s="25">
        <f>DATOS!G18</f>
        <v>-33.5</v>
      </c>
      <c r="H16" s="31">
        <f>IFERROR((DATOS!G18-DATOS!F18)/ABS(DATOS!F18),"—")</f>
        <v>-0.7539267016</v>
      </c>
      <c r="I16" s="25">
        <f>DATOS!H18</f>
        <v>-28</v>
      </c>
      <c r="J16" s="25">
        <f>DATOS!I18</f>
        <v>-57.6</v>
      </c>
      <c r="K16" s="31">
        <f>IFERROR((DATOS!I18-DATOS!H18)/ABS(DATOS!H18),"—")</f>
        <v>-1.057142857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87.75" customHeight="1">
      <c r="A18" s="1"/>
      <c r="B18" s="48" t="s">
        <v>284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6">
    <mergeCell ref="B2:K2"/>
    <mergeCell ref="B3:K3"/>
    <mergeCell ref="C5:E5"/>
    <mergeCell ref="F5:H5"/>
    <mergeCell ref="I5:K5"/>
    <mergeCell ref="B18:K1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.0"/>
    <col customWidth="1" min="2" max="2" width="42.0"/>
    <col customWidth="1" min="3" max="4" width="13.0"/>
    <col customWidth="1" min="5" max="5" width="48.0"/>
    <col customWidth="1" min="6" max="26" width="8.71"/>
  </cols>
  <sheetData>
    <row r="1">
      <c r="A1" s="1"/>
      <c r="B1" s="1"/>
      <c r="C1" s="1"/>
      <c r="D1" s="1"/>
      <c r="E1" s="1"/>
    </row>
    <row r="2" ht="21.75" customHeight="1">
      <c r="A2" s="1"/>
      <c r="B2" s="4" t="s">
        <v>1</v>
      </c>
      <c r="C2" s="3"/>
      <c r="D2" s="3"/>
      <c r="E2" s="5"/>
    </row>
    <row r="3" ht="15.0" customHeight="1">
      <c r="A3" s="1"/>
      <c r="B3" s="6" t="s">
        <v>4</v>
      </c>
    </row>
    <row r="4">
      <c r="A4" s="1"/>
      <c r="B4" s="1"/>
      <c r="C4" s="1"/>
      <c r="D4" s="1"/>
      <c r="E4" s="1"/>
    </row>
    <row r="5" ht="15.0" customHeight="1">
      <c r="A5" s="1"/>
      <c r="B5" s="8" t="s">
        <v>8</v>
      </c>
      <c r="C5" s="10" t="s">
        <v>9</v>
      </c>
      <c r="D5" s="10" t="s">
        <v>10</v>
      </c>
      <c r="E5" s="8" t="s">
        <v>11</v>
      </c>
    </row>
    <row r="6" ht="15.0" customHeight="1">
      <c r="A6" s="1"/>
      <c r="B6" s="12" t="s">
        <v>14</v>
      </c>
      <c r="C6" s="9"/>
      <c r="D6" s="9"/>
      <c r="E6" s="9"/>
    </row>
    <row r="7" ht="15.0" customHeight="1">
      <c r="A7" s="1"/>
      <c r="B7" s="11" t="s">
        <v>16</v>
      </c>
      <c r="C7" s="19">
        <f>DATOS!J22</f>
        <v>359.9</v>
      </c>
      <c r="D7" s="19">
        <f>DATOS!K22</f>
        <v>1530.1</v>
      </c>
      <c r="E7" s="21" t="s">
        <v>34</v>
      </c>
    </row>
    <row r="8" ht="15.0" customHeight="1">
      <c r="A8" s="1"/>
      <c r="B8" s="23" t="s">
        <v>36</v>
      </c>
      <c r="C8" s="25">
        <f>DATOS!J23</f>
        <v>0</v>
      </c>
      <c r="D8" s="25">
        <f>DATOS!K23</f>
        <v>64.2</v>
      </c>
      <c r="E8" s="21" t="s">
        <v>48</v>
      </c>
    </row>
    <row r="9" ht="15.0" customHeight="1">
      <c r="A9" s="1"/>
      <c r="B9" s="23" t="s">
        <v>51</v>
      </c>
      <c r="C9" s="25">
        <f>DATOS!J25</f>
        <v>18.54</v>
      </c>
      <c r="D9" s="25">
        <f>DATOS!K25</f>
        <v>50.14</v>
      </c>
      <c r="E9" s="21" t="s">
        <v>54</v>
      </c>
    </row>
    <row r="10" ht="15.0" customHeight="1">
      <c r="A10" s="1"/>
      <c r="B10" s="11" t="s">
        <v>56</v>
      </c>
      <c r="C10" s="19">
        <f>DATOS!J26</f>
        <v>385.4</v>
      </c>
      <c r="D10" s="19">
        <f>DATOS!K26</f>
        <v>1672.6</v>
      </c>
      <c r="E10" s="21"/>
    </row>
    <row r="11" ht="15.0" customHeight="1">
      <c r="A11" s="1"/>
      <c r="B11" s="23" t="s">
        <v>59</v>
      </c>
      <c r="C11" s="25">
        <f>DATOS!J27</f>
        <v>86.4</v>
      </c>
      <c r="D11" s="25">
        <f>DATOS!K27</f>
        <v>146.8</v>
      </c>
      <c r="E11" s="21" t="s">
        <v>62</v>
      </c>
    </row>
    <row r="12" ht="15.0" customHeight="1">
      <c r="A12" s="1"/>
      <c r="B12" s="23" t="s">
        <v>63</v>
      </c>
      <c r="C12" s="25">
        <f>DATOS!J28</f>
        <v>17.3</v>
      </c>
      <c r="D12" s="25">
        <f>DATOS!K28</f>
        <v>17.3</v>
      </c>
      <c r="E12" s="21" t="s">
        <v>67</v>
      </c>
    </row>
    <row r="13" ht="15.0" customHeight="1">
      <c r="A13" s="1"/>
      <c r="B13" s="23" t="s">
        <v>68</v>
      </c>
      <c r="C13" s="25">
        <f>DATOS!J29</f>
        <v>203.5</v>
      </c>
      <c r="D13" s="25">
        <f>DATOS!K29</f>
        <v>200.7</v>
      </c>
      <c r="E13" s="21" t="s">
        <v>73</v>
      </c>
    </row>
    <row r="14" ht="15.0" customHeight="1">
      <c r="A14" s="1"/>
      <c r="B14" s="23" t="s">
        <v>74</v>
      </c>
      <c r="C14" s="25">
        <f>DATOS!J30</f>
        <v>0</v>
      </c>
      <c r="D14" s="25">
        <f>DATOS!K30</f>
        <v>912.1</v>
      </c>
      <c r="E14" s="21" t="s">
        <v>78</v>
      </c>
    </row>
    <row r="15" ht="15.0" customHeight="1">
      <c r="A15" s="1"/>
      <c r="B15" s="11" t="s">
        <v>79</v>
      </c>
      <c r="C15" s="19">
        <f>DATOS!J31</f>
        <v>695</v>
      </c>
      <c r="D15" s="19">
        <f>DATOS!K31</f>
        <v>2998.8</v>
      </c>
      <c r="E15" s="21"/>
    </row>
    <row r="16" ht="15.0" customHeight="1">
      <c r="A16" s="1"/>
      <c r="B16" s="12" t="s">
        <v>86</v>
      </c>
      <c r="C16" s="9"/>
      <c r="D16" s="9"/>
      <c r="E16" s="9"/>
    </row>
    <row r="17" ht="15.0" customHeight="1">
      <c r="A17" s="1"/>
      <c r="B17" s="23" t="s">
        <v>88</v>
      </c>
      <c r="C17" s="25">
        <f>DATOS!J32</f>
        <v>25.1</v>
      </c>
      <c r="D17" s="25">
        <f>DATOS!K32</f>
        <v>49</v>
      </c>
      <c r="E17" s="21"/>
    </row>
    <row r="18" ht="15.0" customHeight="1">
      <c r="A18" s="1"/>
      <c r="B18" s="23" t="s">
        <v>95</v>
      </c>
      <c r="C18" s="25">
        <f>DATOS!J34</f>
        <v>19.5</v>
      </c>
      <c r="D18" s="25">
        <f>DATOS!K34</f>
        <v>364.2</v>
      </c>
      <c r="E18" s="21" t="s">
        <v>101</v>
      </c>
    </row>
    <row r="19" ht="15.0" customHeight="1">
      <c r="A19" s="1"/>
      <c r="B19" s="11" t="s">
        <v>104</v>
      </c>
      <c r="C19" s="19">
        <f>DATOS!J35</f>
        <v>191.8</v>
      </c>
      <c r="D19" s="19">
        <f>DATOS!K35</f>
        <v>451.5</v>
      </c>
      <c r="E19" s="21"/>
    </row>
    <row r="20" ht="15.0" customHeight="1">
      <c r="A20" s="1"/>
      <c r="B20" s="23" t="s">
        <v>113</v>
      </c>
      <c r="C20" s="25">
        <f>DATOS!J39</f>
        <v>1.8</v>
      </c>
      <c r="D20" s="25">
        <f>DATOS!K39</f>
        <v>0</v>
      </c>
      <c r="E20" s="21" t="s">
        <v>123</v>
      </c>
    </row>
    <row r="21" ht="15.0" customHeight="1">
      <c r="A21" s="1"/>
      <c r="B21" s="11" t="s">
        <v>128</v>
      </c>
      <c r="C21" s="19">
        <f>DATOS!J38</f>
        <v>494.3</v>
      </c>
      <c r="D21" s="19">
        <f>DATOS!K38</f>
        <v>2537</v>
      </c>
      <c r="E21" s="21" t="s">
        <v>149</v>
      </c>
    </row>
    <row r="22" ht="15.75" customHeight="1">
      <c r="A22" s="1"/>
      <c r="B22" s="1"/>
      <c r="C22" s="1"/>
      <c r="D22" s="1"/>
      <c r="E22" s="1"/>
    </row>
    <row r="23" ht="15.0" customHeight="1">
      <c r="A23" s="1"/>
      <c r="B23" s="12" t="s">
        <v>150</v>
      </c>
      <c r="C23" s="9"/>
      <c r="D23" s="9"/>
      <c r="E23" s="9"/>
    </row>
    <row r="24" ht="15.0" customHeight="1">
      <c r="A24" s="1"/>
      <c r="B24" s="23" t="s">
        <v>153</v>
      </c>
      <c r="C24" s="45">
        <f>IFERROR(DATOS!J22-DATOS!J39,"n/d")</f>
        <v>358.1</v>
      </c>
      <c r="D24" s="45">
        <f>IFERROR(DATOS!K22-DATOS!K39,"n/d")</f>
        <v>1530.1</v>
      </c>
      <c r="E24" s="21" t="s">
        <v>165</v>
      </c>
    </row>
    <row r="25" ht="15.0" customHeight="1">
      <c r="A25" s="1"/>
      <c r="B25" s="23" t="s">
        <v>167</v>
      </c>
      <c r="C25" s="46">
        <f>IFERROR(DATOS!J22/DATOS!J20,"n/d")</f>
        <v>2.430114787</v>
      </c>
      <c r="D25" s="46">
        <f>IFERROR(DATOS!K22/DATOS!K20,"n/d")</f>
        <v>6.252962812</v>
      </c>
      <c r="E25" s="21" t="s">
        <v>176</v>
      </c>
    </row>
    <row r="26" ht="15.0" customHeight="1">
      <c r="A26" s="1"/>
      <c r="B26" s="23" t="s">
        <v>177</v>
      </c>
      <c r="C26" s="47">
        <f>IFERROR(DATOS!J26/DATOS!J33,"n/d")</f>
        <v>10.16886544</v>
      </c>
      <c r="D26" s="47">
        <f>IFERROR(DATOS!K26/DATOS!K33,"n/d")</f>
        <v>32.79607843</v>
      </c>
      <c r="E26" s="21" t="s">
        <v>185</v>
      </c>
    </row>
    <row r="27" ht="15.0" customHeight="1">
      <c r="A27" s="1"/>
      <c r="B27" s="23" t="s">
        <v>186</v>
      </c>
      <c r="C27" s="31">
        <f>IFERROR(DATOS!J38/DATOS!J31,"n/d")</f>
        <v>0.7112230216</v>
      </c>
      <c r="D27" s="31">
        <f>IFERROR(DATOS!K38/DATOS!K31,"n/d")</f>
        <v>0.8460050687</v>
      </c>
      <c r="E27" s="21" t="s">
        <v>192</v>
      </c>
    </row>
    <row r="28" ht="15.75" customHeight="1">
      <c r="A28" s="1"/>
      <c r="B28" s="1"/>
      <c r="C28" s="1"/>
      <c r="D28" s="1"/>
      <c r="E28" s="1"/>
    </row>
    <row r="29" ht="90.0" customHeight="1">
      <c r="A29" s="1"/>
      <c r="B29" s="48" t="s">
        <v>198</v>
      </c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3">
    <mergeCell ref="B2:E2"/>
    <mergeCell ref="B3:E3"/>
    <mergeCell ref="B29:E2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4" width="14.0"/>
    <col customWidth="1" min="5" max="5" width="52.0"/>
    <col customWidth="1" min="6" max="26" width="8.71"/>
  </cols>
  <sheetData>
    <row r="1">
      <c r="A1" s="1"/>
      <c r="B1" s="1"/>
      <c r="C1" s="1"/>
      <c r="D1" s="1"/>
      <c r="E1" s="1"/>
    </row>
    <row r="2" ht="24.0" customHeight="1">
      <c r="A2" s="1"/>
      <c r="B2" s="53" t="s">
        <v>221</v>
      </c>
      <c r="C2" s="3"/>
      <c r="D2" s="3"/>
      <c r="E2" s="5"/>
    </row>
    <row r="3" ht="25.5" customHeight="1">
      <c r="A3" s="1"/>
      <c r="B3" s="6" t="s">
        <v>226</v>
      </c>
    </row>
    <row r="4">
      <c r="A4" s="1"/>
      <c r="B4" s="1"/>
      <c r="C4" s="1"/>
      <c r="D4" s="1"/>
      <c r="E4" s="1"/>
    </row>
    <row r="5" ht="15.0" customHeight="1">
      <c r="A5" s="1"/>
      <c r="B5" s="8" t="s">
        <v>228</v>
      </c>
      <c r="C5" s="10" t="s">
        <v>230</v>
      </c>
      <c r="D5" s="10" t="s">
        <v>231</v>
      </c>
      <c r="E5" s="8" t="s">
        <v>232</v>
      </c>
    </row>
    <row r="6" ht="23.25" customHeight="1">
      <c r="A6" s="1"/>
      <c r="B6" s="54" t="s">
        <v>233</v>
      </c>
      <c r="C6" s="56"/>
      <c r="D6" s="56"/>
      <c r="E6" s="56"/>
    </row>
    <row r="7" ht="15.0" customHeight="1">
      <c r="A7" s="1"/>
      <c r="B7" s="23" t="s">
        <v>236</v>
      </c>
      <c r="C7" s="45">
        <f>DATOS!J22</f>
        <v>359.9</v>
      </c>
      <c r="D7" s="45">
        <f>DATOS!K22</f>
        <v>1530.1</v>
      </c>
      <c r="E7" s="34" t="s">
        <v>244</v>
      </c>
    </row>
    <row r="8" ht="15.0" customHeight="1">
      <c r="A8" s="1"/>
      <c r="B8" s="23" t="s">
        <v>153</v>
      </c>
      <c r="C8" s="45">
        <f>DATOS!J22-DATOS!J39</f>
        <v>358.1</v>
      </c>
      <c r="D8" s="45">
        <f>DATOS!K22-DATOS!K39</f>
        <v>1530.1</v>
      </c>
      <c r="E8" s="34" t="s">
        <v>251</v>
      </c>
    </row>
    <row r="9" ht="15.0" customHeight="1">
      <c r="A9" s="1"/>
      <c r="B9" s="23" t="s">
        <v>177</v>
      </c>
      <c r="C9" s="47">
        <f>IFERROR(DATOS!J26/DATOS!J33,"n/d")</f>
        <v>10.16886544</v>
      </c>
      <c r="D9" s="47">
        <f>IFERROR(DATOS!K26/DATOS!K33,"n/d")</f>
        <v>32.79607843</v>
      </c>
      <c r="E9" s="34" t="s">
        <v>262</v>
      </c>
    </row>
    <row r="10" ht="15.0" customHeight="1">
      <c r="A10" s="1"/>
      <c r="B10" s="23" t="s">
        <v>186</v>
      </c>
      <c r="C10" s="31">
        <f>IFERROR(DATOS!J38/DATOS!J31,"n/d")</f>
        <v>0.7112230216</v>
      </c>
      <c r="D10" s="31">
        <f>IFERROR(DATOS!K38/DATOS!K31,"n/d")</f>
        <v>0.8460050687</v>
      </c>
      <c r="E10" s="34" t="s">
        <v>270</v>
      </c>
    </row>
    <row r="11" ht="15.0" customHeight="1">
      <c r="A11" s="1"/>
      <c r="B11" s="54" t="s">
        <v>271</v>
      </c>
      <c r="C11" s="56"/>
      <c r="D11" s="56"/>
      <c r="E11" s="56"/>
    </row>
    <row r="12" ht="15.0" customHeight="1">
      <c r="A12" s="1"/>
      <c r="B12" s="23" t="s">
        <v>272</v>
      </c>
      <c r="C12" s="45" t="s">
        <v>273</v>
      </c>
      <c r="D12" s="45">
        <f>-DATOS!I41</f>
        <v>75.32</v>
      </c>
      <c r="E12" s="34" t="s">
        <v>274</v>
      </c>
    </row>
    <row r="13" ht="15.0" customHeight="1">
      <c r="A13" s="1"/>
      <c r="B13" s="23" t="s">
        <v>275</v>
      </c>
      <c r="C13" s="45" t="s">
        <v>273</v>
      </c>
      <c r="D13" s="45">
        <f>-DATOS!I42</f>
        <v>108.39</v>
      </c>
      <c r="E13" s="34" t="s">
        <v>276</v>
      </c>
    </row>
    <row r="14" ht="21.75" customHeight="1">
      <c r="A14" s="1"/>
      <c r="B14" s="23" t="s">
        <v>277</v>
      </c>
      <c r="C14" s="58" t="s">
        <v>273</v>
      </c>
      <c r="D14" s="58">
        <f>DATOS!K22/((-DATOS!I41-DATOS!I42)*2)</f>
        <v>4.164443961</v>
      </c>
      <c r="E14" s="34" t="s">
        <v>278</v>
      </c>
    </row>
    <row r="15" ht="15.0" customHeight="1">
      <c r="A15" s="1"/>
      <c r="B15" s="54" t="s">
        <v>279</v>
      </c>
      <c r="C15" s="56"/>
      <c r="D15" s="56"/>
      <c r="E15" s="56"/>
    </row>
    <row r="16" ht="15.0" customHeight="1">
      <c r="A16" s="1"/>
      <c r="B16" s="23" t="s">
        <v>280</v>
      </c>
      <c r="C16" s="45">
        <f>DATOS!K46</f>
        <v>1577</v>
      </c>
      <c r="D16" s="45">
        <f>DATOS!K46</f>
        <v>1577</v>
      </c>
      <c r="E16" s="34" t="s">
        <v>70</v>
      </c>
    </row>
    <row r="17" ht="15.0" customHeight="1">
      <c r="A17" s="1"/>
      <c r="B17" s="23" t="s">
        <v>281</v>
      </c>
      <c r="C17" s="45">
        <f>DATOS!K45</f>
        <v>750</v>
      </c>
      <c r="D17" s="45">
        <f>DATOS!K45</f>
        <v>750</v>
      </c>
      <c r="E17" s="34" t="s">
        <v>282</v>
      </c>
    </row>
    <row r="18" ht="15.0" customHeight="1">
      <c r="A18" s="1"/>
      <c r="B18" s="23" t="s">
        <v>283</v>
      </c>
      <c r="C18" s="59" t="s">
        <v>273</v>
      </c>
      <c r="D18" s="59">
        <f>IFERROR(DATOS!K22/(-DATOS!I14*2),"n/d")</f>
        <v>9.218580552</v>
      </c>
      <c r="E18" s="34" t="s">
        <v>285</v>
      </c>
    </row>
    <row r="19" ht="15.0" customHeight="1">
      <c r="A19" s="1"/>
      <c r="B19" s="54" t="s">
        <v>286</v>
      </c>
      <c r="C19" s="56"/>
      <c r="D19" s="56"/>
      <c r="E19" s="56"/>
    </row>
    <row r="20" ht="15.0" customHeight="1">
      <c r="A20" s="1"/>
      <c r="B20" s="23" t="s">
        <v>287</v>
      </c>
      <c r="C20" s="45" t="s">
        <v>273</v>
      </c>
      <c r="D20" s="45">
        <f>DATOS!K44*DATOS!K20</f>
        <v>4243.098</v>
      </c>
      <c r="E20" s="34" t="s">
        <v>288</v>
      </c>
    </row>
    <row r="21" ht="15.0" customHeight="1">
      <c r="A21" s="1"/>
      <c r="B21" s="23" t="s">
        <v>289</v>
      </c>
      <c r="C21" s="31" t="s">
        <v>273</v>
      </c>
      <c r="D21" s="31">
        <f>IFERROR(DATOS!K22/(DATOS!K44*DATOS!K20),"n/d")</f>
        <v>0.3606091587</v>
      </c>
      <c r="E21" s="34" t="s">
        <v>290</v>
      </c>
    </row>
    <row r="22" ht="15.75" customHeight="1">
      <c r="A22" s="1"/>
      <c r="B22" s="1"/>
      <c r="C22" s="1"/>
      <c r="D22" s="1"/>
      <c r="E22" s="1"/>
    </row>
    <row r="23" ht="96.0" customHeight="1">
      <c r="A23" s="1"/>
      <c r="B23" s="48" t="s">
        <v>291</v>
      </c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3">
    <mergeCell ref="B2:E2"/>
    <mergeCell ref="B3:E3"/>
    <mergeCell ref="B23:E2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2.0"/>
    <col customWidth="1" min="2" max="2" width="40.0"/>
    <col customWidth="1" min="3" max="8" width="12.0"/>
    <col customWidth="1" min="9" max="9" width="32.0"/>
    <col customWidth="1" min="10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t="24.0" customHeight="1">
      <c r="A2" s="1"/>
      <c r="B2" s="53" t="s">
        <v>292</v>
      </c>
      <c r="C2" s="3"/>
      <c r="D2" s="3"/>
      <c r="E2" s="3"/>
      <c r="F2" s="3"/>
      <c r="G2" s="3"/>
      <c r="H2" s="3"/>
      <c r="I2" s="5"/>
    </row>
    <row r="3" ht="27.75" customHeight="1">
      <c r="A3" s="1"/>
      <c r="B3" s="6" t="s">
        <v>293</v>
      </c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 ht="15.0" customHeight="1">
      <c r="A6" s="1"/>
      <c r="B6" s="8" t="s">
        <v>21</v>
      </c>
      <c r="C6" s="10" t="s">
        <v>294</v>
      </c>
      <c r="D6" s="10" t="s">
        <v>295</v>
      </c>
      <c r="E6" s="10" t="s">
        <v>296</v>
      </c>
      <c r="F6" s="10" t="s">
        <v>297</v>
      </c>
      <c r="G6" s="10" t="s">
        <v>298</v>
      </c>
      <c r="H6" s="10" t="s">
        <v>299</v>
      </c>
      <c r="I6" s="8" t="s">
        <v>300</v>
      </c>
    </row>
    <row r="7" ht="15.0" customHeight="1">
      <c r="A7" s="1"/>
      <c r="B7" s="54" t="s">
        <v>301</v>
      </c>
      <c r="C7" s="56"/>
      <c r="D7" s="56"/>
      <c r="E7" s="56"/>
      <c r="F7" s="56"/>
      <c r="G7" s="56"/>
      <c r="H7" s="56"/>
      <c r="I7" s="56"/>
    </row>
    <row r="8" ht="18.75" customHeight="1">
      <c r="A8" s="1"/>
      <c r="B8" s="11" t="s">
        <v>302</v>
      </c>
      <c r="C8" s="60">
        <f>DATOS!$K$64</f>
        <v>24</v>
      </c>
      <c r="D8" s="60">
        <f>C8*(1+DATOS!$K$65)</f>
        <v>60</v>
      </c>
      <c r="E8" s="60">
        <f>D8*(1+DATOS!$K$66)</f>
        <v>138</v>
      </c>
      <c r="F8" s="60">
        <f>E8*(1+DATOS!$K$67)</f>
        <v>276</v>
      </c>
      <c r="G8" s="60">
        <f>F8*(1+DATOS!$K$68)</f>
        <v>469.2</v>
      </c>
      <c r="H8" s="60">
        <f>G8*(1+DATOS!$K$69)</f>
        <v>680.34</v>
      </c>
      <c r="I8" s="21" t="s">
        <v>303</v>
      </c>
    </row>
    <row r="9" ht="15.0" customHeight="1">
      <c r="A9" s="1"/>
      <c r="B9" s="23" t="s">
        <v>304</v>
      </c>
      <c r="C9" s="61"/>
      <c r="D9" s="31">
        <f t="shared" ref="D9:H9" si="1">D8/C8-1</f>
        <v>1.5</v>
      </c>
      <c r="E9" s="31">
        <f t="shared" si="1"/>
        <v>1.3</v>
      </c>
      <c r="F9" s="31">
        <f t="shared" si="1"/>
        <v>1</v>
      </c>
      <c r="G9" s="31">
        <f t="shared" si="1"/>
        <v>0.7</v>
      </c>
      <c r="H9" s="31">
        <f t="shared" si="1"/>
        <v>0.45</v>
      </c>
      <c r="I9" s="21"/>
    </row>
    <row r="10" ht="18.75" customHeight="1">
      <c r="A10" s="1"/>
      <c r="B10" s="11" t="s">
        <v>305</v>
      </c>
      <c r="C10" s="61"/>
      <c r="D10" s="60">
        <f>D8*DATOS!$K$70</f>
        <v>-120</v>
      </c>
      <c r="E10" s="60">
        <f>E8*DATOS!$K$71</f>
        <v>-110.4</v>
      </c>
      <c r="F10" s="60">
        <f>F8*DATOS!$K$72</f>
        <v>-55.2</v>
      </c>
      <c r="G10" s="60">
        <f>G8*DATOS!$K$73</f>
        <v>56.304</v>
      </c>
      <c r="H10" s="60">
        <f>H8*DATOS!$K$74</f>
        <v>170.085</v>
      </c>
      <c r="I10" s="21" t="s">
        <v>306</v>
      </c>
    </row>
    <row r="11" ht="18.75" customHeight="1">
      <c r="A11" s="1"/>
      <c r="B11" s="23" t="s">
        <v>307</v>
      </c>
      <c r="C11" s="61"/>
      <c r="D11" s="31">
        <f>DATOS!$K$70</f>
        <v>-2</v>
      </c>
      <c r="E11" s="31">
        <f>DATOS!$K$71</f>
        <v>-0.8</v>
      </c>
      <c r="F11" s="31">
        <f>DATOS!$K$72</f>
        <v>-0.2</v>
      </c>
      <c r="G11" s="31">
        <f>DATOS!$K$73</f>
        <v>0.12</v>
      </c>
      <c r="H11" s="31">
        <f>DATOS!$K$74</f>
        <v>0.25</v>
      </c>
      <c r="I11" s="21" t="s">
        <v>309</v>
      </c>
    </row>
    <row r="12" ht="15.0" customHeight="1">
      <c r="A12" s="1"/>
      <c r="B12" s="23" t="s">
        <v>310</v>
      </c>
      <c r="C12" s="61"/>
      <c r="D12" s="45">
        <f>C18*DATOS!$K$79</f>
        <v>53.5535</v>
      </c>
      <c r="E12" s="45">
        <f>D18*DATOS!$K$79</f>
        <v>50.4508725</v>
      </c>
      <c r="F12" s="45">
        <f>E18*DATOS!$K$79</f>
        <v>46.59075304</v>
      </c>
      <c r="G12" s="45">
        <f>F18*DATOS!$K$79</f>
        <v>42.86012939</v>
      </c>
      <c r="H12" s="45">
        <f>G18*DATOS!$K$79</f>
        <v>39.98955757</v>
      </c>
      <c r="I12" s="21" t="s">
        <v>314</v>
      </c>
    </row>
    <row r="13" ht="15.0" customHeight="1">
      <c r="A13" s="1"/>
      <c r="B13" s="11" t="s">
        <v>315</v>
      </c>
      <c r="C13" s="61"/>
      <c r="D13" s="60">
        <f t="shared" ref="D13:H13" si="2">D10+D12</f>
        <v>-66.4465</v>
      </c>
      <c r="E13" s="60">
        <f t="shared" si="2"/>
        <v>-59.9491275</v>
      </c>
      <c r="F13" s="60">
        <f t="shared" si="2"/>
        <v>-8.609246963</v>
      </c>
      <c r="G13" s="60">
        <f t="shared" si="2"/>
        <v>99.16412939</v>
      </c>
      <c r="H13" s="60">
        <f t="shared" si="2"/>
        <v>210.0745576</v>
      </c>
      <c r="I13" s="21"/>
    </row>
    <row r="14" ht="15.0" customHeight="1">
      <c r="A14" s="1"/>
      <c r="B14" s="23" t="s">
        <v>319</v>
      </c>
      <c r="C14" s="61"/>
      <c r="D14" s="45">
        <f>MAX(0,D13)*DATOS!K51</f>
        <v>0</v>
      </c>
      <c r="E14" s="45">
        <f>MAX(0,E13)*DATOS!K51</f>
        <v>0</v>
      </c>
      <c r="F14" s="45">
        <f>MAX(0,F13)*DATOS!K51</f>
        <v>0</v>
      </c>
      <c r="G14" s="45">
        <f>MAX(0,G13)*DATOS!K51</f>
        <v>20.82446717</v>
      </c>
      <c r="H14" s="45">
        <f>MAX(0,H13)*DATOS!K51</f>
        <v>44.11565709</v>
      </c>
      <c r="I14" s="21" t="s">
        <v>324</v>
      </c>
    </row>
    <row r="15" ht="15.0" customHeight="1">
      <c r="A15" s="1"/>
      <c r="B15" s="65" t="s">
        <v>325</v>
      </c>
      <c r="C15" s="61"/>
      <c r="D15" s="67">
        <f t="shared" ref="D15:H15" si="3">D13-D14</f>
        <v>-66.4465</v>
      </c>
      <c r="E15" s="67">
        <f t="shared" si="3"/>
        <v>-59.9491275</v>
      </c>
      <c r="F15" s="67">
        <f t="shared" si="3"/>
        <v>-8.609246963</v>
      </c>
      <c r="G15" s="67">
        <f t="shared" si="3"/>
        <v>78.33966222</v>
      </c>
      <c r="H15" s="67">
        <f t="shared" si="3"/>
        <v>165.9589005</v>
      </c>
      <c r="I15" s="21"/>
    </row>
    <row r="16">
      <c r="A16" s="1"/>
      <c r="B16" s="1"/>
      <c r="C16" s="1"/>
      <c r="D16" s="1"/>
      <c r="E16" s="1"/>
      <c r="F16" s="1"/>
      <c r="G16" s="1"/>
      <c r="H16" s="1"/>
      <c r="I16" s="1"/>
    </row>
    <row r="17" ht="15.0" customHeight="1">
      <c r="A17" s="1"/>
      <c r="B17" s="54" t="s">
        <v>329</v>
      </c>
      <c r="C17" s="56"/>
      <c r="D17" s="56"/>
      <c r="E17" s="56"/>
      <c r="F17" s="56"/>
      <c r="G17" s="56"/>
      <c r="H17" s="56"/>
      <c r="I17" s="56"/>
    </row>
    <row r="18" ht="18.75" customHeight="1">
      <c r="A18" s="1"/>
      <c r="B18" s="23" t="s">
        <v>330</v>
      </c>
      <c r="C18" s="25">
        <f>DATOS!K22</f>
        <v>1530.1</v>
      </c>
      <c r="D18" s="45">
        <f t="shared" ref="D18:H18" si="4">D39</f>
        <v>1441.4535</v>
      </c>
      <c r="E18" s="45">
        <f t="shared" si="4"/>
        <v>1331.164373</v>
      </c>
      <c r="F18" s="45">
        <f t="shared" si="4"/>
        <v>1224.575126</v>
      </c>
      <c r="G18" s="45">
        <f t="shared" si="4"/>
        <v>1142.558788</v>
      </c>
      <c r="H18" s="45">
        <f t="shared" si="4"/>
        <v>1086.351488</v>
      </c>
      <c r="I18" s="21" t="s">
        <v>333</v>
      </c>
    </row>
    <row r="19" ht="15.0" customHeight="1">
      <c r="A19" s="1"/>
      <c r="B19" s="23" t="s">
        <v>334</v>
      </c>
      <c r="C19" s="25">
        <f>DATOS!K24</f>
        <v>6.27</v>
      </c>
      <c r="D19" s="45">
        <f>D8*(DATOS!K24/DATOS!$K$64)</f>
        <v>15.675</v>
      </c>
      <c r="E19" s="45">
        <f>E8*(DATOS!K24/DATOS!$K$64)</f>
        <v>36.0525</v>
      </c>
      <c r="F19" s="45">
        <f>F8*(DATOS!K24/DATOS!$K$64)</f>
        <v>72.105</v>
      </c>
      <c r="G19" s="45">
        <f>G8*(DATOS!K24/DATOS!$K$64)</f>
        <v>122.5785</v>
      </c>
      <c r="H19" s="45">
        <f>H8*(DATOS!K24/DATOS!$K$64)</f>
        <v>177.738825</v>
      </c>
      <c r="I19" s="21" t="s">
        <v>344</v>
      </c>
    </row>
    <row r="20" ht="15.0" customHeight="1">
      <c r="A20" s="1"/>
      <c r="B20" s="23" t="s">
        <v>51</v>
      </c>
      <c r="C20" s="25">
        <f>DATOS!K25</f>
        <v>50.14</v>
      </c>
      <c r="D20" s="45">
        <f>D8*(DATOS!K25/DATOS!$K$64)</f>
        <v>125.35</v>
      </c>
      <c r="E20" s="45">
        <f>E8*(DATOS!K25/DATOS!$K$64)</f>
        <v>288.305</v>
      </c>
      <c r="F20" s="45">
        <f>F8*(DATOS!K25/DATOS!$K$64)</f>
        <v>576.61</v>
      </c>
      <c r="G20" s="45">
        <f>G8*(DATOS!K25/DATOS!$K$64)</f>
        <v>980.237</v>
      </c>
      <c r="H20" s="45">
        <f>H8*(DATOS!K25/DATOS!$K$64)</f>
        <v>1421.34365</v>
      </c>
      <c r="I20" s="21" t="s">
        <v>347</v>
      </c>
    </row>
    <row r="21" ht="18.75" customHeight="1">
      <c r="A21" s="1"/>
      <c r="B21" s="23" t="s">
        <v>348</v>
      </c>
      <c r="C21" s="25">
        <f>DATOS!K27+DATOS!K28</f>
        <v>164.1</v>
      </c>
      <c r="D21" s="45">
        <f>C21+D8*DATOS!$K$77-D8*DATOS!$K$76</f>
        <v>180.9</v>
      </c>
      <c r="E21" s="45">
        <f>D21+E8*DATOS!$K$77-E8*DATOS!$K$76</f>
        <v>219.54</v>
      </c>
      <c r="F21" s="45">
        <f>E21+F8*DATOS!$K$77-F8*DATOS!$K$76</f>
        <v>296.82</v>
      </c>
      <c r="G21" s="45">
        <f>F21+G8*DATOS!$K$77-G8*DATOS!$K$76</f>
        <v>428.196</v>
      </c>
      <c r="H21" s="45">
        <f>G21+H8*DATOS!$K$77-H8*DATOS!$K$76</f>
        <v>618.6912</v>
      </c>
      <c r="I21" s="21" t="s">
        <v>352</v>
      </c>
    </row>
    <row r="22" ht="15.0" customHeight="1">
      <c r="A22" s="1"/>
      <c r="B22" s="23" t="s">
        <v>355</v>
      </c>
      <c r="C22" s="25">
        <f>DATOS!K31-DATOS!K22-DATOS!K24-DATOS!K25-DATOS!K27-DATOS!K28</f>
        <v>1248.19</v>
      </c>
      <c r="D22" s="45">
        <f t="shared" ref="D22:H22" si="5">C22</f>
        <v>1248.19</v>
      </c>
      <c r="E22" s="45">
        <f t="shared" si="5"/>
        <v>1248.19</v>
      </c>
      <c r="F22" s="45">
        <f t="shared" si="5"/>
        <v>1248.19</v>
      </c>
      <c r="G22" s="45">
        <f t="shared" si="5"/>
        <v>1248.19</v>
      </c>
      <c r="H22" s="45">
        <f t="shared" si="5"/>
        <v>1248.19</v>
      </c>
      <c r="I22" s="21" t="s">
        <v>360</v>
      </c>
    </row>
    <row r="23" ht="15.0" customHeight="1">
      <c r="A23" s="1"/>
      <c r="B23" s="11" t="s">
        <v>79</v>
      </c>
      <c r="C23" s="60">
        <f t="shared" ref="C23:H23" si="6">C18+C19+C20+C21+C22</f>
        <v>2998.8</v>
      </c>
      <c r="D23" s="60">
        <f t="shared" si="6"/>
        <v>3011.5685</v>
      </c>
      <c r="E23" s="60">
        <f t="shared" si="6"/>
        <v>3123.251873</v>
      </c>
      <c r="F23" s="60">
        <f t="shared" si="6"/>
        <v>3418.300126</v>
      </c>
      <c r="G23" s="60">
        <f t="shared" si="6"/>
        <v>3921.760288</v>
      </c>
      <c r="H23" s="60">
        <f t="shared" si="6"/>
        <v>4552.315163</v>
      </c>
      <c r="I23" s="21"/>
    </row>
    <row r="24" ht="15.0" customHeight="1">
      <c r="A24" s="1"/>
      <c r="B24" s="23" t="s">
        <v>365</v>
      </c>
      <c r="C24" s="25">
        <f>DATOS!K35-DATOS!K39</f>
        <v>451.5</v>
      </c>
      <c r="D24" s="45">
        <f>DATOS!K35-DATOS!K39</f>
        <v>451.5</v>
      </c>
      <c r="E24" s="45">
        <f>DATOS!K35-DATOS!K39</f>
        <v>451.5</v>
      </c>
      <c r="F24" s="45">
        <f>DATOS!K35-DATOS!K39</f>
        <v>451.5</v>
      </c>
      <c r="G24" s="45">
        <f>DATOS!K35-DATOS!K39</f>
        <v>451.5</v>
      </c>
      <c r="H24" s="45">
        <f>DATOS!K35-DATOS!K39</f>
        <v>451.5</v>
      </c>
      <c r="I24" s="21" t="s">
        <v>371</v>
      </c>
    </row>
    <row r="25" ht="18.75" customHeight="1">
      <c r="A25" s="1"/>
      <c r="B25" s="23" t="s">
        <v>372</v>
      </c>
      <c r="C25" s="25">
        <f>DATOS!K39</f>
        <v>0</v>
      </c>
      <c r="D25" s="45">
        <f t="shared" ref="D25:H25" si="7">D23-D24-D27</f>
        <v>89.515</v>
      </c>
      <c r="E25" s="45">
        <f t="shared" si="7"/>
        <v>261.1475</v>
      </c>
      <c r="F25" s="45">
        <f t="shared" si="7"/>
        <v>564.805</v>
      </c>
      <c r="G25" s="45">
        <f t="shared" si="7"/>
        <v>989.9255</v>
      </c>
      <c r="H25" s="45">
        <f t="shared" si="7"/>
        <v>1454.521475</v>
      </c>
      <c r="I25" s="21" t="s">
        <v>376</v>
      </c>
    </row>
    <row r="26" ht="15.0" customHeight="1">
      <c r="A26" s="1"/>
      <c r="B26" s="11" t="s">
        <v>104</v>
      </c>
      <c r="C26" s="60">
        <f t="shared" ref="C26:H26" si="8">C24+C25</f>
        <v>451.5</v>
      </c>
      <c r="D26" s="60">
        <f t="shared" si="8"/>
        <v>541.015</v>
      </c>
      <c r="E26" s="60">
        <f t="shared" si="8"/>
        <v>712.6475</v>
      </c>
      <c r="F26" s="60">
        <f t="shared" si="8"/>
        <v>1016.305</v>
      </c>
      <c r="G26" s="60">
        <f t="shared" si="8"/>
        <v>1441.4255</v>
      </c>
      <c r="H26" s="60">
        <f t="shared" si="8"/>
        <v>1906.021475</v>
      </c>
      <c r="I26" s="21"/>
    </row>
    <row r="27" ht="15.0" customHeight="1">
      <c r="A27" s="1"/>
      <c r="B27" s="23" t="s">
        <v>382</v>
      </c>
      <c r="C27" s="25">
        <f>DATOS!K38</f>
        <v>2537</v>
      </c>
      <c r="D27" s="45">
        <f t="shared" ref="D27:H27" si="9">C27+D15</f>
        <v>2470.5535</v>
      </c>
      <c r="E27" s="45">
        <f t="shared" si="9"/>
        <v>2410.604373</v>
      </c>
      <c r="F27" s="45">
        <f t="shared" si="9"/>
        <v>2401.995126</v>
      </c>
      <c r="G27" s="45">
        <f t="shared" si="9"/>
        <v>2480.334788</v>
      </c>
      <c r="H27" s="45">
        <f t="shared" si="9"/>
        <v>2646.293688</v>
      </c>
      <c r="I27" s="21" t="s">
        <v>383</v>
      </c>
    </row>
    <row r="28" ht="15.0" customHeight="1">
      <c r="A28" s="1"/>
      <c r="B28" s="11" t="s">
        <v>384</v>
      </c>
      <c r="C28" s="60">
        <f t="shared" ref="C28:H28" si="10">C26+C27</f>
        <v>2988.5</v>
      </c>
      <c r="D28" s="60">
        <f t="shared" si="10"/>
        <v>3011.5685</v>
      </c>
      <c r="E28" s="60">
        <f t="shared" si="10"/>
        <v>3123.251873</v>
      </c>
      <c r="F28" s="60">
        <f t="shared" si="10"/>
        <v>3418.300126</v>
      </c>
      <c r="G28" s="60">
        <f t="shared" si="10"/>
        <v>3921.760288</v>
      </c>
      <c r="H28" s="60">
        <f t="shared" si="10"/>
        <v>4552.315163</v>
      </c>
      <c r="I28" s="21"/>
    </row>
    <row r="29" ht="15.0" customHeight="1">
      <c r="A29" s="1"/>
      <c r="B29" s="80" t="s">
        <v>387</v>
      </c>
      <c r="C29" s="81">
        <f t="shared" ref="C29:H29" si="11">C23-C28</f>
        <v>10.3</v>
      </c>
      <c r="D29" s="81">
        <f t="shared" si="11"/>
        <v>0</v>
      </c>
      <c r="E29" s="81">
        <f t="shared" si="11"/>
        <v>0</v>
      </c>
      <c r="F29" s="81">
        <f t="shared" si="11"/>
        <v>0</v>
      </c>
      <c r="G29" s="81">
        <f t="shared" si="11"/>
        <v>0</v>
      </c>
      <c r="H29" s="81">
        <f t="shared" si="11"/>
        <v>0</v>
      </c>
      <c r="I29" s="21" t="s">
        <v>388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ht="15.0" customHeight="1">
      <c r="A31" s="1"/>
      <c r="B31" s="54" t="s">
        <v>389</v>
      </c>
      <c r="C31" s="56"/>
      <c r="D31" s="56"/>
      <c r="E31" s="56"/>
      <c r="F31" s="56"/>
      <c r="G31" s="56"/>
      <c r="H31" s="56"/>
      <c r="I31" s="56"/>
    </row>
    <row r="32" ht="15.0" customHeight="1">
      <c r="A32" s="1"/>
      <c r="B32" s="23" t="s">
        <v>390</v>
      </c>
      <c r="C32" s="61"/>
      <c r="D32" s="45">
        <f t="shared" ref="D32:H32" si="12">D15</f>
        <v>-66.4465</v>
      </c>
      <c r="E32" s="45">
        <f t="shared" si="12"/>
        <v>-59.9491275</v>
      </c>
      <c r="F32" s="45">
        <f t="shared" si="12"/>
        <v>-8.609246963</v>
      </c>
      <c r="G32" s="45">
        <f t="shared" si="12"/>
        <v>78.33966222</v>
      </c>
      <c r="H32" s="45">
        <f t="shared" si="12"/>
        <v>165.9589005</v>
      </c>
      <c r="I32" s="21" t="s">
        <v>391</v>
      </c>
    </row>
    <row r="33" ht="15.0" customHeight="1">
      <c r="A33" s="1"/>
      <c r="B33" s="23" t="s">
        <v>392</v>
      </c>
      <c r="C33" s="61"/>
      <c r="D33" s="45">
        <f>D8*DATOS!$K$76</f>
        <v>7.2</v>
      </c>
      <c r="E33" s="45">
        <f>E8*DATOS!$K$76</f>
        <v>16.56</v>
      </c>
      <c r="F33" s="45">
        <f>F8*DATOS!$K$76</f>
        <v>33.12</v>
      </c>
      <c r="G33" s="45">
        <f>G8*DATOS!$K$76</f>
        <v>56.304</v>
      </c>
      <c r="H33" s="45">
        <f>H8*DATOS!$K$76</f>
        <v>81.6408</v>
      </c>
      <c r="I33" s="21" t="s">
        <v>393</v>
      </c>
    </row>
    <row r="34" ht="15.0" customHeight="1">
      <c r="A34" s="1"/>
      <c r="B34" s="23" t="s">
        <v>394</v>
      </c>
      <c r="C34" s="61"/>
      <c r="D34" s="45">
        <f>-(D8-C8)*DATOS!$K$78</f>
        <v>-5.4</v>
      </c>
      <c r="E34" s="45">
        <f>-(E8-D8)*DATOS!$K$78</f>
        <v>-11.7</v>
      </c>
      <c r="F34" s="45">
        <f>-(F8-E8)*DATOS!$K$78</f>
        <v>-20.7</v>
      </c>
      <c r="G34" s="45">
        <f>-(G8-F8)*DATOS!$K$78</f>
        <v>-28.98</v>
      </c>
      <c r="H34" s="45">
        <f>-(H8-G8)*DATOS!$K$78</f>
        <v>-31.671</v>
      </c>
      <c r="I34" s="21" t="s">
        <v>395</v>
      </c>
    </row>
    <row r="35" ht="15.0" customHeight="1">
      <c r="A35" s="1"/>
      <c r="B35" s="11" t="s">
        <v>396</v>
      </c>
      <c r="C35" s="61"/>
      <c r="D35" s="60">
        <f t="shared" ref="D35:H35" si="13">D32+D33+D34</f>
        <v>-64.6465</v>
      </c>
      <c r="E35" s="60">
        <f t="shared" si="13"/>
        <v>-55.0891275</v>
      </c>
      <c r="F35" s="60">
        <f t="shared" si="13"/>
        <v>3.810753038</v>
      </c>
      <c r="G35" s="60">
        <f t="shared" si="13"/>
        <v>105.6636622</v>
      </c>
      <c r="H35" s="60">
        <f t="shared" si="13"/>
        <v>215.9287005</v>
      </c>
      <c r="I35" s="21"/>
    </row>
    <row r="36" ht="15.0" customHeight="1">
      <c r="A36" s="1"/>
      <c r="B36" s="23" t="s">
        <v>397</v>
      </c>
      <c r="C36" s="61"/>
      <c r="D36" s="45">
        <f>-D8*DATOS!$K$77</f>
        <v>-24</v>
      </c>
      <c r="E36" s="45">
        <f>-E8*DATOS!$K$77</f>
        <v>-55.2</v>
      </c>
      <c r="F36" s="45">
        <f>-F8*DATOS!$K$77</f>
        <v>-110.4</v>
      </c>
      <c r="G36" s="45">
        <f>-G8*DATOS!$K$77</f>
        <v>-187.68</v>
      </c>
      <c r="H36" s="45">
        <f>-H8*DATOS!$K$77</f>
        <v>-272.136</v>
      </c>
      <c r="I36" s="21" t="s">
        <v>398</v>
      </c>
    </row>
    <row r="37" ht="18.75" customHeight="1">
      <c r="A37" s="1"/>
      <c r="B37" s="65" t="s">
        <v>399</v>
      </c>
      <c r="C37" s="61"/>
      <c r="D37" s="67">
        <f t="shared" ref="D37:H37" si="14">D35+D36</f>
        <v>-88.6465</v>
      </c>
      <c r="E37" s="67">
        <f t="shared" si="14"/>
        <v>-110.2891275</v>
      </c>
      <c r="F37" s="67">
        <f t="shared" si="14"/>
        <v>-106.589247</v>
      </c>
      <c r="G37" s="67">
        <f t="shared" si="14"/>
        <v>-82.01633778</v>
      </c>
      <c r="H37" s="67">
        <f t="shared" si="14"/>
        <v>-56.20729952</v>
      </c>
      <c r="I37" s="21" t="s">
        <v>400</v>
      </c>
    </row>
    <row r="38" ht="15.0" customHeight="1">
      <c r="A38" s="1"/>
      <c r="B38" s="23" t="s">
        <v>401</v>
      </c>
      <c r="C38" s="61"/>
      <c r="D38" s="45">
        <f>DATOS!K22</f>
        <v>1530.1</v>
      </c>
      <c r="E38" s="45">
        <f t="shared" ref="E38:H38" si="15">D39</f>
        <v>1441.4535</v>
      </c>
      <c r="F38" s="45">
        <f t="shared" si="15"/>
        <v>1331.164373</v>
      </c>
      <c r="G38" s="45">
        <f t="shared" si="15"/>
        <v>1224.575126</v>
      </c>
      <c r="H38" s="45">
        <f t="shared" si="15"/>
        <v>1142.558788</v>
      </c>
      <c r="I38" s="21"/>
    </row>
    <row r="39" ht="18.75" customHeight="1">
      <c r="A39" s="1"/>
      <c r="B39" s="65" t="s">
        <v>402</v>
      </c>
      <c r="C39" s="61"/>
      <c r="D39" s="67">
        <f t="shared" ref="D39:H39" si="16">D38+D37</f>
        <v>1441.4535</v>
      </c>
      <c r="E39" s="67">
        <f t="shared" si="16"/>
        <v>1331.164373</v>
      </c>
      <c r="F39" s="67">
        <f t="shared" si="16"/>
        <v>1224.575126</v>
      </c>
      <c r="G39" s="67">
        <f t="shared" si="16"/>
        <v>1142.558788</v>
      </c>
      <c r="H39" s="67">
        <f t="shared" si="16"/>
        <v>1086.351488</v>
      </c>
      <c r="I39" s="21" t="s">
        <v>403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75.75" customHeight="1">
      <c r="A41" s="1"/>
      <c r="B41" s="48" t="s">
        <v>404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3">
    <mergeCell ref="B2:I2"/>
    <mergeCell ref="B3:I3"/>
    <mergeCell ref="B41:I4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2.0"/>
    <col customWidth="1" min="3" max="3" width="15.0"/>
    <col customWidth="1" min="4" max="4" width="13.0"/>
    <col customWidth="1" min="5" max="5" width="46.0"/>
    <col customWidth="1" min="6" max="26" width="8.71"/>
  </cols>
  <sheetData>
    <row r="1">
      <c r="A1" s="1"/>
      <c r="B1" s="1"/>
      <c r="C1" s="1"/>
      <c r="D1" s="1"/>
      <c r="E1" s="1"/>
    </row>
    <row r="2" ht="24.0" customHeight="1">
      <c r="A2" s="1"/>
      <c r="B2" s="53" t="s">
        <v>308</v>
      </c>
      <c r="C2" s="3"/>
      <c r="D2" s="3"/>
      <c r="E2" s="5"/>
    </row>
    <row r="3" ht="15.0" customHeight="1">
      <c r="A3" s="1"/>
      <c r="B3" s="6" t="s">
        <v>311</v>
      </c>
    </row>
    <row r="4">
      <c r="A4" s="1"/>
      <c r="B4" s="1"/>
      <c r="C4" s="1"/>
      <c r="D4" s="1"/>
      <c r="E4" s="1"/>
    </row>
    <row r="5" ht="15.0" customHeight="1">
      <c r="A5" s="1"/>
      <c r="B5" s="54" t="s">
        <v>312</v>
      </c>
      <c r="C5" s="56"/>
      <c r="D5" s="56"/>
      <c r="E5" s="56"/>
    </row>
    <row r="6" ht="15.0" customHeight="1">
      <c r="A6" s="1"/>
      <c r="B6" s="23" t="s">
        <v>313</v>
      </c>
      <c r="C6" s="62">
        <f>DATOS!K48</f>
        <v>0.043</v>
      </c>
      <c r="D6" s="61"/>
      <c r="E6" s="21" t="s">
        <v>316</v>
      </c>
    </row>
    <row r="7" ht="15.0" customHeight="1">
      <c r="A7" s="1"/>
      <c r="B7" s="23" t="s">
        <v>317</v>
      </c>
      <c r="C7" s="62">
        <f>DATOS!K49</f>
        <v>0.055</v>
      </c>
      <c r="D7" s="61"/>
      <c r="E7" s="21" t="s">
        <v>316</v>
      </c>
    </row>
    <row r="8" ht="15.0" customHeight="1">
      <c r="A8" s="1"/>
      <c r="B8" s="23" t="s">
        <v>318</v>
      </c>
      <c r="C8" s="63">
        <f>DATOS!K50</f>
        <v>1.7</v>
      </c>
      <c r="D8" s="61"/>
      <c r="E8" s="21" t="s">
        <v>320</v>
      </c>
    </row>
    <row r="9" ht="15.0" customHeight="1">
      <c r="A9" s="1"/>
      <c r="B9" s="23" t="s">
        <v>321</v>
      </c>
      <c r="C9" s="64">
        <f>DATOS!K44*DATOS!K20</f>
        <v>4243.098</v>
      </c>
      <c r="D9" s="1"/>
      <c r="E9" s="21" t="s">
        <v>322</v>
      </c>
    </row>
    <row r="10" ht="15.0" customHeight="1">
      <c r="A10" s="1"/>
      <c r="B10" s="23" t="s">
        <v>323</v>
      </c>
      <c r="C10" s="66">
        <f>MAX(DATOS!K39,1)</f>
        <v>1</v>
      </c>
      <c r="D10" s="1"/>
      <c r="E10" s="21" t="s">
        <v>326</v>
      </c>
    </row>
    <row r="11" ht="15.0" customHeight="1">
      <c r="A11" s="1"/>
      <c r="B11" s="23" t="s">
        <v>327</v>
      </c>
      <c r="C11" s="31">
        <f>C10/(C10+C9)</f>
        <v>0.0002356213264</v>
      </c>
      <c r="D11" s="61"/>
      <c r="E11" s="21"/>
    </row>
    <row r="12" ht="15.0" customHeight="1">
      <c r="A12" s="1"/>
      <c r="B12" s="23" t="s">
        <v>328</v>
      </c>
      <c r="C12" s="31">
        <f>C9/(C10+C9)</f>
        <v>0.9997643787</v>
      </c>
      <c r="D12" s="61"/>
      <c r="E12" s="21"/>
    </row>
    <row r="13" ht="15.0" customHeight="1">
      <c r="A13" s="1"/>
      <c r="B13" s="23" t="s">
        <v>331</v>
      </c>
      <c r="C13" s="68">
        <f>DATOS!K51</f>
        <v>0.21</v>
      </c>
      <c r="D13" s="61"/>
      <c r="E13" s="21"/>
    </row>
    <row r="14" ht="15.0" customHeight="1">
      <c r="A14" s="1"/>
      <c r="B14" s="23" t="s">
        <v>332</v>
      </c>
      <c r="C14" s="69">
        <f>C8*(1+(1-C13)*C10/C9)</f>
        <v>1.700316514</v>
      </c>
      <c r="D14" s="61"/>
      <c r="E14" s="21" t="s">
        <v>335</v>
      </c>
    </row>
    <row r="15" ht="15.0" customHeight="1">
      <c r="A15" s="1"/>
      <c r="B15" s="23" t="s">
        <v>336</v>
      </c>
      <c r="C15" s="70">
        <f>C6+C14*C7</f>
        <v>0.1365174083</v>
      </c>
      <c r="D15" s="61"/>
      <c r="E15" s="21" t="s">
        <v>337</v>
      </c>
    </row>
    <row r="16" ht="15.0" customHeight="1">
      <c r="A16" s="1"/>
      <c r="B16" s="23" t="s">
        <v>338</v>
      </c>
      <c r="C16" s="62">
        <f>DATOS!K52</f>
        <v>0.06</v>
      </c>
      <c r="D16" s="61"/>
      <c r="E16" s="21"/>
    </row>
    <row r="17" ht="15.0" customHeight="1">
      <c r="A17" s="1"/>
      <c r="B17" s="11" t="s">
        <v>339</v>
      </c>
      <c r="C17" s="71">
        <f>C12*C15+C11*C16*(1-C13)</f>
        <v>0.1364964103</v>
      </c>
      <c r="D17" s="61"/>
      <c r="E17" s="21" t="s">
        <v>340</v>
      </c>
    </row>
    <row r="18">
      <c r="A18" s="1"/>
      <c r="B18" s="1"/>
      <c r="C18" s="1"/>
      <c r="D18" s="1"/>
      <c r="E18" s="1"/>
    </row>
    <row r="19" ht="15.0" customHeight="1">
      <c r="A19" s="1"/>
      <c r="B19" s="54" t="s">
        <v>341</v>
      </c>
      <c r="C19" s="56"/>
      <c r="D19" s="56"/>
      <c r="E19" s="56"/>
    </row>
    <row r="20" ht="21.75" customHeight="1">
      <c r="A20" s="1"/>
      <c r="B20" s="72" t="s">
        <v>342</v>
      </c>
      <c r="C20" s="72" t="s">
        <v>343</v>
      </c>
      <c r="D20" s="72" t="s">
        <v>345</v>
      </c>
      <c r="E20" s="73" t="s">
        <v>346</v>
      </c>
    </row>
    <row r="21" ht="15.0" customHeight="1">
      <c r="A21" s="1"/>
      <c r="B21" s="74">
        <v>1.0</v>
      </c>
      <c r="C21" s="25">
        <f>Proyecciones!D37</f>
        <v>-88.6465</v>
      </c>
      <c r="D21" s="45">
        <f>C21/(1+C17)^1</f>
        <v>-77.99980642</v>
      </c>
      <c r="E21" s="61"/>
    </row>
    <row r="22" ht="15.0" customHeight="1">
      <c r="A22" s="1"/>
      <c r="B22" s="74">
        <v>2.0</v>
      </c>
      <c r="C22" s="25">
        <f>Proyecciones!E37</f>
        <v>-110.2891275</v>
      </c>
      <c r="D22" s="45">
        <f>C22/(1+C17)^2</f>
        <v>-85.38794553</v>
      </c>
      <c r="E22" s="61"/>
    </row>
    <row r="23" ht="15.0" customHeight="1">
      <c r="A23" s="1"/>
      <c r="B23" s="74">
        <v>3.0</v>
      </c>
      <c r="C23" s="25">
        <f>Proyecciones!F37</f>
        <v>-106.589247</v>
      </c>
      <c r="D23" s="45">
        <f>C23/(1+C17)^3</f>
        <v>-72.61213209</v>
      </c>
      <c r="E23" s="61"/>
    </row>
    <row r="24" ht="15.0" customHeight="1">
      <c r="A24" s="1"/>
      <c r="B24" s="74">
        <v>4.0</v>
      </c>
      <c r="C24" s="25">
        <f>Proyecciones!G37</f>
        <v>-82.01633778</v>
      </c>
      <c r="D24" s="45">
        <f>C24/(1+C17)^4</f>
        <v>-49.1618367</v>
      </c>
      <c r="E24" s="61"/>
    </row>
    <row r="25" ht="15.0" customHeight="1">
      <c r="A25" s="1"/>
      <c r="B25" s="74">
        <v>5.0</v>
      </c>
      <c r="C25" s="25">
        <f>Proyecciones!H37</f>
        <v>-56.20729952</v>
      </c>
      <c r="D25" s="45">
        <f>C25/(1+C17)^5</f>
        <v>-29.64506306</v>
      </c>
      <c r="E25" s="61"/>
    </row>
    <row r="26" ht="18.75" customHeight="1">
      <c r="A26" s="1"/>
      <c r="B26" s="23" t="s">
        <v>349</v>
      </c>
      <c r="C26" s="45">
        <f>Proyecciones!H8*DATOS!K53*(1-DATOS!K51)</f>
        <v>134.36715</v>
      </c>
      <c r="D26" s="1"/>
      <c r="E26" s="21" t="s">
        <v>350</v>
      </c>
    </row>
    <row r="27" ht="15.0" customHeight="1">
      <c r="A27" s="1"/>
      <c r="B27" s="23" t="s">
        <v>351</v>
      </c>
      <c r="C27" s="45">
        <f>C26*(1.04)/(C17-0.04)</f>
        <v>1448.155797</v>
      </c>
      <c r="D27" s="45">
        <f>C27/(1+C17)^5</f>
        <v>763.7917192</v>
      </c>
      <c r="E27" s="21" t="s">
        <v>353</v>
      </c>
    </row>
    <row r="28" ht="15.0" customHeight="1">
      <c r="A28" s="1"/>
      <c r="B28" s="11" t="s">
        <v>354</v>
      </c>
      <c r="C28" s="60">
        <f>SUM(D21:D25)+D27</f>
        <v>448.9849354</v>
      </c>
      <c r="D28" s="1"/>
      <c r="E28" s="1"/>
    </row>
    <row r="29" ht="15.0" customHeight="1">
      <c r="A29" s="1"/>
      <c r="B29" s="23" t="s">
        <v>356</v>
      </c>
      <c r="C29" s="25">
        <f>DATOS!K22+DATOS!K23-DATOS!K39</f>
        <v>1594.3</v>
      </c>
      <c r="D29" s="1"/>
      <c r="E29" s="21" t="s">
        <v>357</v>
      </c>
    </row>
    <row r="30" ht="15.0" customHeight="1">
      <c r="A30" s="1"/>
      <c r="B30" s="11" t="s">
        <v>358</v>
      </c>
      <c r="C30" s="60">
        <f>C28+C29</f>
        <v>2043.284935</v>
      </c>
      <c r="D30" s="1"/>
      <c r="E30" s="1"/>
    </row>
    <row r="31" ht="15.0" customHeight="1">
      <c r="A31" s="1"/>
      <c r="B31" s="11" t="s">
        <v>359</v>
      </c>
      <c r="C31" s="75">
        <f>C30/DATOS!K20</f>
        <v>8.350163201</v>
      </c>
      <c r="D31" s="1"/>
      <c r="E31" s="1"/>
    </row>
    <row r="32" ht="15.75" customHeight="1">
      <c r="A32" s="1"/>
      <c r="B32" s="1"/>
      <c r="C32" s="1"/>
      <c r="D32" s="1"/>
      <c r="E32" s="1"/>
    </row>
    <row r="33" ht="15.0" customHeight="1">
      <c r="A33" s="1"/>
      <c r="B33" s="54" t="s">
        <v>361</v>
      </c>
      <c r="C33" s="56"/>
      <c r="D33" s="56"/>
      <c r="E33" s="56"/>
    </row>
    <row r="34" ht="15.0" customHeight="1">
      <c r="A34" s="1"/>
      <c r="B34" s="23" t="s">
        <v>362</v>
      </c>
      <c r="C34" s="25">
        <f>DATOS!K22+DATOS!K23</f>
        <v>1594.3</v>
      </c>
      <c r="D34" s="1"/>
      <c r="E34" s="21" t="s">
        <v>363</v>
      </c>
    </row>
    <row r="35" ht="15.0" customHeight="1">
      <c r="A35" s="1"/>
      <c r="B35" s="23" t="s">
        <v>364</v>
      </c>
      <c r="C35" s="25">
        <f>DATOS!K27+DATOS!K28+DATOS!K25</f>
        <v>214.24</v>
      </c>
      <c r="D35" s="1"/>
      <c r="E35" s="21" t="s">
        <v>366</v>
      </c>
    </row>
    <row r="36" ht="15.0" customHeight="1">
      <c r="A36" s="1"/>
      <c r="B36" s="23" t="s">
        <v>367</v>
      </c>
      <c r="C36" s="25">
        <f>DATOS!K29</f>
        <v>200.7</v>
      </c>
      <c r="D36" s="1"/>
      <c r="E36" s="21" t="s">
        <v>169</v>
      </c>
    </row>
    <row r="37" ht="15.0" customHeight="1">
      <c r="A37" s="1"/>
      <c r="B37" s="23" t="s">
        <v>368</v>
      </c>
      <c r="C37" s="25">
        <f>-(DATOS!K35-DATOS!K34)</f>
        <v>-87.3</v>
      </c>
      <c r="D37" s="1"/>
      <c r="E37" s="21" t="s">
        <v>369</v>
      </c>
    </row>
    <row r="38" ht="15.0" customHeight="1">
      <c r="A38" s="1"/>
      <c r="B38" s="11" t="s">
        <v>370</v>
      </c>
      <c r="C38" s="67">
        <f>DATOS!K22+DATOS!K23+DATOS!K27+DATOS!K28+DATOS!K25+DATOS!K29-(DATOS!K35-DATOS!K34)</f>
        <v>1921.94</v>
      </c>
      <c r="D38" s="1"/>
      <c r="E38" s="1"/>
    </row>
    <row r="39" ht="15.0" customHeight="1">
      <c r="A39" s="1"/>
      <c r="B39" s="11" t="s">
        <v>373</v>
      </c>
      <c r="C39" s="75">
        <f>C38/DATOS!K20</f>
        <v>7.854270535</v>
      </c>
      <c r="D39" s="1"/>
      <c r="E39" s="1"/>
    </row>
    <row r="40" ht="15.75" customHeight="1">
      <c r="A40" s="1"/>
      <c r="B40" s="1"/>
      <c r="C40" s="1"/>
      <c r="D40" s="1"/>
      <c r="E40" s="1"/>
    </row>
    <row r="41" ht="15.0" customHeight="1">
      <c r="A41" s="1"/>
      <c r="B41" s="54" t="s">
        <v>374</v>
      </c>
      <c r="C41" s="56"/>
      <c r="D41" s="56"/>
      <c r="E41" s="56"/>
    </row>
    <row r="42" ht="15.0" customHeight="1">
      <c r="A42" s="1"/>
      <c r="B42" s="11" t="s">
        <v>375</v>
      </c>
      <c r="C42" s="76">
        <f>C31</f>
        <v>8.350163201</v>
      </c>
      <c r="D42" s="1"/>
      <c r="E42" s="21" t="s">
        <v>377</v>
      </c>
    </row>
    <row r="43" ht="15.0" customHeight="1">
      <c r="A43" s="1"/>
      <c r="B43" s="11" t="s">
        <v>378</v>
      </c>
      <c r="C43" s="76">
        <f>C39</f>
        <v>7.854270535</v>
      </c>
      <c r="D43" s="1"/>
      <c r="E43" s="21" t="s">
        <v>379</v>
      </c>
    </row>
    <row r="44" ht="15.0" customHeight="1">
      <c r="A44" s="1"/>
      <c r="B44" s="11" t="s">
        <v>380</v>
      </c>
      <c r="C44" s="77">
        <f>DATOS!K44</f>
        <v>17.34</v>
      </c>
      <c r="D44" s="1"/>
      <c r="E44" s="1"/>
    </row>
    <row r="45" ht="15.0" customHeight="1">
      <c r="A45" s="1"/>
      <c r="B45" s="11" t="s">
        <v>381</v>
      </c>
      <c r="C45" s="78">
        <f>C31/DATOS!K44-1</f>
        <v>-0.5184450288</v>
      </c>
      <c r="D45" s="78">
        <f>C39/DATOS!K44-1</f>
        <v>-0.5470432217</v>
      </c>
      <c r="E45" s="21" t="s">
        <v>385</v>
      </c>
    </row>
    <row r="46" ht="15.75" customHeight="1">
      <c r="A46" s="1"/>
      <c r="B46" s="1"/>
      <c r="C46" s="1"/>
      <c r="D46" s="1"/>
      <c r="E46" s="1"/>
    </row>
    <row r="47" ht="75.75" customHeight="1">
      <c r="A47" s="1"/>
      <c r="B47" s="79" t="s">
        <v>386</v>
      </c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3">
    <mergeCell ref="B2:E2"/>
    <mergeCell ref="B3:E3"/>
    <mergeCell ref="B47:E47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7" width="12.0"/>
    <col customWidth="1" min="8" max="26" width="8.71"/>
  </cols>
  <sheetData>
    <row r="1">
      <c r="A1" s="1"/>
      <c r="B1" s="1"/>
      <c r="C1" s="1"/>
      <c r="D1" s="1"/>
      <c r="E1" s="1"/>
      <c r="F1" s="1"/>
      <c r="G1" s="1"/>
    </row>
    <row r="2" ht="24.0" customHeight="1">
      <c r="A2" s="1"/>
      <c r="B2" s="53" t="s">
        <v>405</v>
      </c>
      <c r="C2" s="3"/>
      <c r="D2" s="3"/>
      <c r="E2" s="3"/>
      <c r="F2" s="3"/>
      <c r="G2" s="5"/>
    </row>
    <row r="3" ht="25.5" customHeight="1">
      <c r="A3" s="1"/>
      <c r="B3" s="6" t="s">
        <v>406</v>
      </c>
    </row>
    <row r="4">
      <c r="A4" s="1"/>
      <c r="B4" s="1"/>
      <c r="C4" s="1"/>
      <c r="D4" s="1"/>
      <c r="E4" s="1"/>
      <c r="F4" s="1"/>
      <c r="G4" s="1"/>
    </row>
    <row r="5" ht="15.0" customHeight="1">
      <c r="A5" s="1"/>
      <c r="B5" s="10" t="s">
        <v>407</v>
      </c>
      <c r="C5" s="82">
        <v>0.15</v>
      </c>
      <c r="D5" s="82">
        <v>0.2</v>
      </c>
      <c r="E5" s="82">
        <v>0.25</v>
      </c>
      <c r="F5" s="82">
        <v>0.3</v>
      </c>
      <c r="G5" s="82">
        <v>0.35</v>
      </c>
    </row>
    <row r="6" ht="15.0" customHeight="1">
      <c r="A6" s="1"/>
      <c r="B6" s="83">
        <v>0.1</v>
      </c>
      <c r="C6" s="84">
        <f>((Proyecciones!D37/(1+$B6)^1+Proyecciones!E37/(1+$B6)^2+Proyecciones!F37/(1+$B6)^3+Proyecciones!G37/(1+$B6)^4+Proyecciones!H37/(1+$B6)^5+(Proyecciones!H8*C$5*(1-DATOS!K51)*1.04/($B6-0.04))/(1+$B6)^5)+(DATOS!K22+DATOS!K23-DATOS!K39))/DATOS!K20</f>
        <v>8.660606614</v>
      </c>
      <c r="D6" s="84">
        <f>((Proyecciones!D37/(1+$B6)^1+Proyecciones!E37/(1+$B6)^2+Proyecciones!F37/(1+$B6)^3+Proyecciones!G37/(1+$B6)^4+Proyecciones!H37/(1+$B6)^5+(Proyecciones!H8*D$5*(1-DATOS!K51)*1.04/($B6-0.04))/(1+$B6)^5)+(DATOS!K22+DATOS!K23-DATOS!K39))/DATOS!K20</f>
        <v>9.842580265</v>
      </c>
      <c r="E6" s="84">
        <f>((Proyecciones!D37/(1+$B6)^1+Proyecciones!E37/(1+$B6)^2+Proyecciones!F37/(1+$B6)^3+Proyecciones!G37/(1+$B6)^4+Proyecciones!H37/(1+$B6)^5+(Proyecciones!H8*E$5*(1-DATOS!K51)*1.04/($B6-0.04))/(1+$B6)^5)+(DATOS!K22+DATOS!K23-DATOS!K39))/DATOS!K20</f>
        <v>11.02455392</v>
      </c>
      <c r="F6" s="84">
        <f>((Proyecciones!D37/(1+$B6)^1+Proyecciones!E37/(1+$B6)^2+Proyecciones!F37/(1+$B6)^3+Proyecciones!G37/(1+$B6)^4+Proyecciones!H37/(1+$B6)^5+(Proyecciones!H8*F$5*(1-DATOS!K51)*1.04/($B6-0.04))/(1+$B6)^5)+(DATOS!K22+DATOS!K23-DATOS!K39))/DATOS!K20</f>
        <v>12.20652757</v>
      </c>
      <c r="G6" s="84">
        <f>((Proyecciones!D37/(1+$B6)^1+Proyecciones!E37/(1+$B6)^2+Proyecciones!F37/(1+$B6)^3+Proyecciones!G37/(1+$B6)^4+Proyecciones!H37/(1+$B6)^5+(Proyecciones!H8*G$5*(1-DATOS!K51)*1.04/($B6-0.04))/(1+$B6)^5)+(DATOS!K22+DATOS!K23-DATOS!K39))/DATOS!K20</f>
        <v>13.38850122</v>
      </c>
    </row>
    <row r="7" ht="15.0" customHeight="1">
      <c r="A7" s="1"/>
      <c r="B7" s="83">
        <v>0.115</v>
      </c>
      <c r="C7" s="84">
        <f>((Proyecciones!D37/(1+$B7)^1+Proyecciones!E37/(1+$B7)^2+Proyecciones!F37/(1+$B7)^3+Proyecciones!G37/(1+$B7)^4+Proyecciones!H37/(1+$B7)^5+(Proyecciones!H8*C$5*(1-DATOS!K51)*1.04/($B7-0.04))/(1+$B7)^5)+(DATOS!K22+DATOS!K23-DATOS!K39))/DATOS!K20</f>
        <v>7.814503714</v>
      </c>
      <c r="D7" s="84">
        <f>((Proyecciones!D37/(1+$B7)^1+Proyecciones!E37/(1+$B7)^2+Proyecciones!F37/(1+$B7)^3+Proyecciones!G37/(1+$B7)^4+Proyecciones!H37/(1+$B7)^5+(Proyecciones!H8*D$5*(1-DATOS!K51)*1.04/($B7-0.04))/(1+$B7)^5)+(DATOS!K22+DATOS!K23-DATOS!K39))/DATOS!K20</f>
        <v>8.69816712</v>
      </c>
      <c r="E7" s="84">
        <f>((Proyecciones!D37/(1+$B7)^1+Proyecciones!E37/(1+$B7)^2+Proyecciones!F37/(1+$B7)^3+Proyecciones!G37/(1+$B7)^4+Proyecciones!H37/(1+$B7)^5+(Proyecciones!H8*E$5*(1-DATOS!K51)*1.04/($B7-0.04))/(1+$B7)^5)+(DATOS!K22+DATOS!K23-DATOS!K39))/DATOS!K20</f>
        <v>9.581830527</v>
      </c>
      <c r="F7" s="84">
        <f>((Proyecciones!D37/(1+$B7)^1+Proyecciones!E37/(1+$B7)^2+Proyecciones!F37/(1+$B7)^3+Proyecciones!G37/(1+$B7)^4+Proyecciones!H37/(1+$B7)^5+(Proyecciones!H8*F$5*(1-DATOS!K51)*1.04/($B7-0.04))/(1+$B7)^5)+(DATOS!K22+DATOS!K23-DATOS!K39))/DATOS!K20</f>
        <v>10.46549393</v>
      </c>
      <c r="G7" s="84">
        <f>((Proyecciones!D37/(1+$B7)^1+Proyecciones!E37/(1+$B7)^2+Proyecciones!F37/(1+$B7)^3+Proyecciones!G37/(1+$B7)^4+Proyecciones!H37/(1+$B7)^5+(Proyecciones!H8*G$5*(1-DATOS!K51)*1.04/($B7-0.04))/(1+$B7)^5)+(DATOS!K22+DATOS!K23-DATOS!K39))/DATOS!K20</f>
        <v>11.34915734</v>
      </c>
    </row>
    <row r="8" ht="15.0" customHeight="1">
      <c r="A8" s="1"/>
      <c r="B8" s="83">
        <v>0.13</v>
      </c>
      <c r="C8" s="84">
        <f>((Proyecciones!D37/(1+$B8)^1+Proyecciones!E37/(1+$B8)^2+Proyecciones!F37/(1+$B8)^3+Proyecciones!G37/(1+$B8)^4+Proyecciones!H37/(1+$B8)^5+(Proyecciones!H8*C$5*(1-DATOS!K51)*1.04/($B8-0.04))/(1+$B8)^5)+(DATOS!K22+DATOS!K23-DATOS!K39))/DATOS!K20</f>
        <v>7.276011786</v>
      </c>
      <c r="D8" s="84">
        <f>((Proyecciones!D37/(1+$B8)^1+Proyecciones!E37/(1+$B8)^2+Proyecciones!F37/(1+$B8)^3+Proyecciones!G37/(1+$B8)^4+Proyecciones!H37/(1+$B8)^5+(Proyecciones!H8*D$5*(1-DATOS!K51)*1.04/($B8-0.04))/(1+$B8)^5)+(DATOS!K22+DATOS!K23-DATOS!K39))/DATOS!K20</f>
        <v>7.964803231</v>
      </c>
      <c r="E8" s="85">
        <f>((Proyecciones!D37/(1+$B8)^1+Proyecciones!E37/(1+$B8)^2+Proyecciones!F37/(1+$B8)^3+Proyecciones!G37/(1+$B8)^4+Proyecciones!H37/(1+$B8)^5+(Proyecciones!H8*E$5*(1-DATOS!K51)*1.04/($B8-0.04))/(1+$B8)^5)+(DATOS!K22+DATOS!K23-DATOS!K39))/DATOS!K20</f>
        <v>8.653594676</v>
      </c>
      <c r="F8" s="84">
        <f>((Proyecciones!D37/(1+$B8)^1+Proyecciones!E37/(1+$B8)^2+Proyecciones!F37/(1+$B8)^3+Proyecciones!G37/(1+$B8)^4+Proyecciones!H37/(1+$B8)^5+(Proyecciones!H8*F$5*(1-DATOS!K51)*1.04/($B8-0.04))/(1+$B8)^5)+(DATOS!K22+DATOS!K23-DATOS!K39))/DATOS!K20</f>
        <v>9.342386121</v>
      </c>
      <c r="G8" s="84">
        <f>((Proyecciones!D37/(1+$B8)^1+Proyecciones!E37/(1+$B8)^2+Proyecciones!F37/(1+$B8)^3+Proyecciones!G37/(1+$B8)^4+Proyecciones!H37/(1+$B8)^5+(Proyecciones!H8*G$5*(1-DATOS!K51)*1.04/($B8-0.04))/(1+$B8)^5)+(DATOS!K22+DATOS!K23-DATOS!K39))/DATOS!K20</f>
        <v>10.03117757</v>
      </c>
    </row>
    <row r="9" ht="15.0" customHeight="1">
      <c r="A9" s="1"/>
      <c r="B9" s="83">
        <v>0.145</v>
      </c>
      <c r="C9" s="84">
        <f>((Proyecciones!D37/(1+$B9)^1+Proyecciones!E37/(1+$B9)^2+Proyecciones!F37/(1+$B9)^3+Proyecciones!G37/(1+$B9)^4+Proyecciones!H37/(1+$B9)^5+(Proyecciones!H8*C$5*(1-DATOS!K51)*1.04/($B9-0.04))/(1+$B9)^5)+(DATOS!K22+DATOS!K23-DATOS!K39))/DATOS!K20</f>
        <v>6.911414153</v>
      </c>
      <c r="D9" s="84">
        <f>((Proyecciones!D37/(1+$B9)^1+Proyecciones!E37/(1+$B9)^2+Proyecciones!F37/(1+$B9)^3+Proyecciones!G37/(1+$B9)^4+Proyecciones!H37/(1+$B9)^5+(Proyecciones!H8*D$5*(1-DATOS!K51)*1.04/($B9-0.04))/(1+$B9)^5)+(DATOS!K22+DATOS!K23-DATOS!K39))/DATOS!K20</f>
        <v>7.464134865</v>
      </c>
      <c r="E9" s="84">
        <f>((Proyecciones!D37/(1+$B9)^1+Proyecciones!E37/(1+$B9)^2+Proyecciones!F37/(1+$B9)^3+Proyecciones!G37/(1+$B9)^4+Proyecciones!H37/(1+$B9)^5+(Proyecciones!H8*E$5*(1-DATOS!K51)*1.04/($B9-0.04))/(1+$B9)^5)+(DATOS!K22+DATOS!K23-DATOS!K39))/DATOS!K20</f>
        <v>8.016855576</v>
      </c>
      <c r="F9" s="84">
        <f>((Proyecciones!D37/(1+$B9)^1+Proyecciones!E37/(1+$B9)^2+Proyecciones!F37/(1+$B9)^3+Proyecciones!G37/(1+$B9)^4+Proyecciones!H37/(1+$B9)^5+(Proyecciones!H8*F$5*(1-DATOS!K51)*1.04/($B9-0.04))/(1+$B9)^5)+(DATOS!K22+DATOS!K23-DATOS!K39))/DATOS!K20</f>
        <v>8.569576288</v>
      </c>
      <c r="G9" s="84">
        <f>((Proyecciones!D37/(1+$B9)^1+Proyecciones!E37/(1+$B9)^2+Proyecciones!F37/(1+$B9)^3+Proyecciones!G37/(1+$B9)^4+Proyecciones!H37/(1+$B9)^5+(Proyecciones!H8*G$5*(1-DATOS!K51)*1.04/($B9-0.04))/(1+$B9)^5)+(DATOS!K22+DATOS!K23-DATOS!K39))/DATOS!K20</f>
        <v>9.122296999</v>
      </c>
    </row>
    <row r="10" ht="15.0" customHeight="1">
      <c r="A10" s="1"/>
      <c r="B10" s="83">
        <v>0.16</v>
      </c>
      <c r="C10" s="84">
        <f>((Proyecciones!D37/(1+$B10)^1+Proyecciones!E37/(1+$B10)^2+Proyecciones!F37/(1+$B10)^3+Proyecciones!G37/(1+$B10)^4+Proyecciones!H37/(1+$B10)^5+(Proyecciones!H8*C$5*(1-DATOS!K51)*1.04/($B10-0.04))/(1+$B10)^5)+(DATOS!K22+DATOS!K23-DATOS!K39))/DATOS!K20</f>
        <v>6.654013939</v>
      </c>
      <c r="D10" s="84">
        <f>((Proyecciones!D37/(1+$B10)^1+Proyecciones!E37/(1+$B10)^2+Proyecciones!F37/(1+$B10)^3+Proyecciones!G37/(1+$B10)^4+Proyecciones!H37/(1+$B10)^5+(Proyecciones!H8*D$5*(1-DATOS!K51)*1.04/($B10-0.04))/(1+$B10)^5)+(DATOS!K22+DATOS!K23-DATOS!K39))/DATOS!K20</f>
        <v>7.107173638</v>
      </c>
      <c r="E10" s="84">
        <f>((Proyecciones!D37/(1+$B10)^1+Proyecciones!E37/(1+$B10)^2+Proyecciones!F37/(1+$B10)^3+Proyecciones!G37/(1+$B10)^4+Proyecciones!H37/(1+$B10)^5+(Proyecciones!H8*E$5*(1-DATOS!K51)*1.04/($B10-0.04))/(1+$B10)^5)+(DATOS!K22+DATOS!K23-DATOS!K39))/DATOS!K20</f>
        <v>7.560333336</v>
      </c>
      <c r="F10" s="84">
        <f>((Proyecciones!D37/(1+$B10)^1+Proyecciones!E37/(1+$B10)^2+Proyecciones!F37/(1+$B10)^3+Proyecciones!G37/(1+$B10)^4+Proyecciones!H37/(1+$B10)^5+(Proyecciones!H8*F$5*(1-DATOS!K51)*1.04/($B10-0.04))/(1+$B10)^5)+(DATOS!K22+DATOS!K23-DATOS!K39))/DATOS!K20</f>
        <v>8.013493035</v>
      </c>
      <c r="G10" s="84">
        <f>((Proyecciones!D37/(1+$B10)^1+Proyecciones!E37/(1+$B10)^2+Proyecciones!F37/(1+$B10)^3+Proyecciones!G37/(1+$B10)^4+Proyecciones!H37/(1+$B10)^5+(Proyecciones!H8*G$5*(1-DATOS!K51)*1.04/($B10-0.04))/(1+$B10)^5)+(DATOS!K22+DATOS!K23-DATOS!K39))/DATOS!K20</f>
        <v>8.466652733</v>
      </c>
    </row>
    <row r="11">
      <c r="A11" s="1"/>
      <c r="B11" s="1"/>
      <c r="C11" s="1"/>
      <c r="D11" s="1"/>
      <c r="E11" s="1"/>
      <c r="F11" s="1"/>
      <c r="G11" s="1"/>
    </row>
    <row r="12" ht="15.0" customHeight="1">
      <c r="A12" s="1"/>
      <c r="B12" s="92" t="s">
        <v>442</v>
      </c>
      <c r="C12" s="91">
        <f>DATOS!K44</f>
        <v>17.34</v>
      </c>
      <c r="D12" s="6" t="s">
        <v>443</v>
      </c>
    </row>
    <row r="13">
      <c r="A13" s="1"/>
      <c r="B13" s="1"/>
      <c r="C13" s="1"/>
      <c r="D13" s="1"/>
      <c r="E13" s="1"/>
      <c r="F13" s="1"/>
      <c r="G13" s="1"/>
    </row>
    <row r="14" ht="55.5" customHeight="1">
      <c r="A14" s="1"/>
      <c r="B14" s="48" t="s">
        <v>444</v>
      </c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 ht="15.75" customHeight="1">
      <c r="A21" s="1"/>
      <c r="B21" s="1"/>
      <c r="C21" s="1"/>
      <c r="D21" s="1"/>
      <c r="E21" s="1"/>
      <c r="F21" s="1"/>
      <c r="G21" s="1"/>
    </row>
    <row r="22" ht="15.75" customHeight="1">
      <c r="A22" s="1"/>
      <c r="B22" s="1"/>
      <c r="C22" s="1"/>
      <c r="D22" s="1"/>
      <c r="E22" s="1"/>
      <c r="F22" s="1"/>
      <c r="G22" s="1"/>
    </row>
    <row r="23" ht="15.75" customHeight="1">
      <c r="A23" s="1"/>
      <c r="B23" s="1"/>
      <c r="C23" s="1"/>
      <c r="D23" s="1"/>
      <c r="E23" s="1"/>
      <c r="F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4">
    <mergeCell ref="B2:G2"/>
    <mergeCell ref="B3:G3"/>
    <mergeCell ref="D12:G12"/>
    <mergeCell ref="B14:G14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7" width="13.0"/>
    <col customWidth="1" min="8" max="8" width="30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</row>
    <row r="2" ht="24.0" customHeight="1">
      <c r="A2" s="1"/>
      <c r="B2" s="53" t="s">
        <v>408</v>
      </c>
      <c r="C2" s="3"/>
      <c r="D2" s="3"/>
      <c r="E2" s="3"/>
      <c r="F2" s="3"/>
      <c r="G2" s="3"/>
      <c r="H2" s="5"/>
    </row>
    <row r="3" ht="30.0" customHeight="1">
      <c r="A3" s="1"/>
      <c r="B3" s="6" t="s">
        <v>409</v>
      </c>
    </row>
    <row r="4">
      <c r="A4" s="1"/>
      <c r="B4" s="1"/>
      <c r="C4" s="1"/>
      <c r="D4" s="1"/>
      <c r="E4" s="1"/>
      <c r="F4" s="1"/>
      <c r="G4" s="1"/>
      <c r="H4" s="1"/>
    </row>
    <row r="5" ht="15.0" customHeight="1">
      <c r="A5" s="1"/>
      <c r="B5" s="10" t="s">
        <v>410</v>
      </c>
      <c r="C5" s="10" t="s">
        <v>411</v>
      </c>
      <c r="D5" s="10" t="s">
        <v>412</v>
      </c>
      <c r="E5" s="10" t="s">
        <v>413</v>
      </c>
      <c r="F5" s="10" t="s">
        <v>11</v>
      </c>
      <c r="G5" s="1"/>
      <c r="H5" s="1"/>
    </row>
    <row r="6" ht="45.75" customHeight="1">
      <c r="A6" s="1"/>
      <c r="B6" s="23" t="s">
        <v>414</v>
      </c>
      <c r="C6" s="74" t="s">
        <v>415</v>
      </c>
      <c r="D6" s="86">
        <v>24.7</v>
      </c>
      <c r="E6" s="86">
        <v>8.0</v>
      </c>
      <c r="F6" s="21" t="s">
        <v>416</v>
      </c>
      <c r="G6" s="1"/>
      <c r="H6" s="1"/>
    </row>
    <row r="7" ht="54.75" customHeight="1">
      <c r="A7" s="1"/>
      <c r="B7" s="23" t="s">
        <v>417</v>
      </c>
      <c r="C7" s="74" t="s">
        <v>418</v>
      </c>
      <c r="D7" s="86">
        <v>3.5</v>
      </c>
      <c r="E7" s="86">
        <v>6.0</v>
      </c>
      <c r="F7" s="21" t="s">
        <v>419</v>
      </c>
      <c r="G7" s="1"/>
      <c r="H7" s="1"/>
    </row>
    <row r="8" ht="45.75" customHeight="1">
      <c r="A8" s="1"/>
      <c r="B8" s="23" t="s">
        <v>420</v>
      </c>
      <c r="C8" s="74" t="s">
        <v>421</v>
      </c>
      <c r="D8" s="86">
        <v>10.0</v>
      </c>
      <c r="E8" s="86">
        <v>5.0</v>
      </c>
      <c r="F8" s="21" t="s">
        <v>422</v>
      </c>
      <c r="G8" s="1"/>
      <c r="H8" s="1"/>
    </row>
    <row r="9" ht="36.75" customHeight="1">
      <c r="A9" s="1"/>
      <c r="B9" s="23" t="s">
        <v>423</v>
      </c>
      <c r="C9" s="74" t="s">
        <v>424</v>
      </c>
      <c r="D9" s="86">
        <v>4.0</v>
      </c>
      <c r="E9" s="87" t="s">
        <v>425</v>
      </c>
      <c r="F9" s="21" t="s">
        <v>426</v>
      </c>
      <c r="G9" s="1"/>
      <c r="H9" s="1"/>
    </row>
    <row r="10" ht="18.75" customHeight="1">
      <c r="A10" s="1"/>
      <c r="B10" s="23" t="s">
        <v>427</v>
      </c>
      <c r="C10" s="74" t="s">
        <v>428</v>
      </c>
      <c r="D10" s="86">
        <v>5.0</v>
      </c>
      <c r="E10" s="87" t="s">
        <v>425</v>
      </c>
      <c r="F10" s="21" t="s">
        <v>429</v>
      </c>
      <c r="G10" s="1"/>
      <c r="H10" s="1"/>
    </row>
    <row r="11" ht="15.0" customHeight="1">
      <c r="A11" s="1"/>
      <c r="B11" s="88" t="s">
        <v>430</v>
      </c>
      <c r="C11" s="9"/>
      <c r="D11" s="89">
        <f t="shared" ref="D11:E11" si="1">MEDIAN(D6:D10)</f>
        <v>5</v>
      </c>
      <c r="E11" s="89">
        <f t="shared" si="1"/>
        <v>6</v>
      </c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 ht="15.0" customHeight="1">
      <c r="A13" s="1"/>
      <c r="B13" s="7" t="s">
        <v>431</v>
      </c>
      <c r="C13" s="9"/>
      <c r="D13" s="9"/>
      <c r="E13" s="9"/>
      <c r="F13" s="9"/>
      <c r="G13" s="9"/>
      <c r="H13" s="9"/>
    </row>
    <row r="14" ht="15.0" customHeight="1">
      <c r="A14" s="1"/>
      <c r="B14" s="10" t="s">
        <v>432</v>
      </c>
      <c r="C14" s="10" t="s">
        <v>433</v>
      </c>
      <c r="D14" s="10" t="s">
        <v>434</v>
      </c>
      <c r="E14" s="10" t="s">
        <v>435</v>
      </c>
      <c r="F14" s="1"/>
      <c r="G14" s="1"/>
      <c r="H14" s="10" t="s">
        <v>436</v>
      </c>
    </row>
    <row r="15" ht="15.0" customHeight="1">
      <c r="A15" s="1"/>
      <c r="B15" s="23" t="s">
        <v>437</v>
      </c>
      <c r="C15" s="66">
        <f>DATOS!K38</f>
        <v>2537</v>
      </c>
      <c r="D15" s="59">
        <f>D11</f>
        <v>5</v>
      </c>
      <c r="E15" s="75">
        <f>DATOS!K38*D11/DATOS!K20</f>
        <v>51.83898651</v>
      </c>
      <c r="F15" s="90" t="s">
        <v>438</v>
      </c>
      <c r="G15" s="14"/>
      <c r="H15" s="14"/>
    </row>
    <row r="16" ht="15.0" customHeight="1">
      <c r="A16" s="1"/>
      <c r="B16" s="23" t="s">
        <v>439</v>
      </c>
      <c r="C16" s="66">
        <f>Proyecciones!G8</f>
        <v>469.2</v>
      </c>
      <c r="D16" s="59">
        <f>E11</f>
        <v>6</v>
      </c>
      <c r="E16" s="75">
        <f>(Proyecciones!G8*E11+DATOS!K22+DATOS!K23-DATOS!K39)/DATOS!K20</f>
        <v>18.02002452</v>
      </c>
      <c r="F16" s="90" t="s">
        <v>440</v>
      </c>
      <c r="G16" s="14"/>
      <c r="H16" s="14"/>
    </row>
    <row r="17" ht="15.0" customHeight="1">
      <c r="A17" s="1"/>
      <c r="B17" s="11" t="s">
        <v>380</v>
      </c>
      <c r="C17" s="1"/>
      <c r="D17" s="1"/>
      <c r="E17" s="91">
        <f>DATOS!K44</f>
        <v>17.34</v>
      </c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 ht="75.75" customHeight="1">
      <c r="A19" s="1"/>
      <c r="B19" s="48" t="s">
        <v>441</v>
      </c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5">
    <mergeCell ref="B2:H2"/>
    <mergeCell ref="B3:H3"/>
    <mergeCell ref="F15:H15"/>
    <mergeCell ref="F16:H16"/>
    <mergeCell ref="B19:H19"/>
  </mergeCells>
  <printOptions/>
  <pageMargins bottom="1.0" footer="0.0" header="0.0" left="0.75" right="0.75" top="1.0"/>
  <pageSetup paperSize="9" orientation="portrait"/>
  <drawing r:id="rId1"/>
</worksheet>
</file>