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DATOS" sheetId="2" r:id="rId6"/>
    <sheet state="visible" name="Estado Resultados" sheetId="3" r:id="rId7"/>
    <sheet state="visible" name="Balance" sheetId="4" r:id="rId8"/>
    <sheet state="visible" name="Análisis Financiero" sheetId="5" r:id="rId9"/>
    <sheet state="visible" name="Proyecciones" sheetId="6" r:id="rId10"/>
    <sheet state="visible" name="Valoración" sheetId="7" r:id="rId11"/>
    <sheet state="visible" name="Sensibilidad" sheetId="8" r:id="rId12"/>
    <sheet state="visible" name="Comparables" sheetId="9" r:id="rId13"/>
  </sheets>
  <definedNames/>
  <calcPr/>
</workbook>
</file>

<file path=xl/sharedStrings.xml><?xml version="1.0" encoding="utf-8"?>
<sst xmlns="http://schemas.openxmlformats.org/spreadsheetml/2006/main" count="601" uniqueCount="560">
  <si>
    <t>PURE CYCLE (NASDAQ: PCYO) — Resumen Ejecutivo</t>
  </si>
  <si>
    <t>Modelo profesional profundo (metodología Celsia/Murray). Arquitectura DATOS→fórmulas. Datos SEC hasta Q3 FY2026 (may-2026).</t>
  </si>
  <si>
    <t>ESTADO DE RESULTADOS — comparación homogénea y análisis por segmento (jala de DATOS)</t>
  </si>
  <si>
    <t>CIFRAS CLAVE (de DATOS)</t>
  </si>
  <si>
    <t>PURE CYCLE (PCYO) — HOJA DE DATOS CRUDOS (SEC 10-K / 10-Q). Año fiscal = agosto.</t>
  </si>
  <si>
    <t>Precio de la acción</t>
  </si>
  <si>
    <t>Q3 vs Q3, Q2 vs Q2 con Δ%, acumulado 9 meses, y anuales. Se analiza cada segmento por separado (agua/tierras/alquiler).</t>
  </si>
  <si>
    <t>Fuente única. Azul = de SEC. Demás hojas jalan con fórmulas. Edita SOLO aquí. Agua + tierras + alquiler en Colorado. FY termina 31-ago: Q1=nov, Q2=feb, Q3=may. Montos en millones USD (salvo por acción y por conexión).</t>
  </si>
  <si>
    <t>BALANCE GENERAL — ago-2025 (fin FY) → may-2026 (Q3) ($M)</t>
  </si>
  <si>
    <t>ANUALES</t>
  </si>
  <si>
    <t>ANUALES (FY ago)</t>
  </si>
  <si>
    <t>~$10 (jul 2026).</t>
  </si>
  <si>
    <t>Capitalización de mercado</t>
  </si>
  <si>
    <t>Dos cortes. El activo clave son los derechos de agua ($72M) + el note receivable ($59M). Verde = de DATOS.</t>
  </si>
  <si>
    <t>Q3 may (homólogo)</t>
  </si>
  <si>
    <t>Q3 (25→26)</t>
  </si>
  <si>
    <t>Partida ($M)</t>
  </si>
  <si>
    <t>9M (25→26)</t>
  </si>
  <si>
    <t>9 meses (9M)</t>
  </si>
  <si>
    <t>Ago-25</t>
  </si>
  <si>
    <t>~24.1M acciones ≈ $241M.</t>
  </si>
  <si>
    <t>Concepto ($M)</t>
  </si>
  <si>
    <t>Ingresos 9M FY2026</t>
  </si>
  <si>
    <t>Q2 feb (homólogo)</t>
  </si>
  <si>
    <t>May-26</t>
  </si>
  <si>
    <t>FY23</t>
  </si>
  <si>
    <t>FY24</t>
  </si>
  <si>
    <t>Comentario</t>
  </si>
  <si>
    <t>FY25</t>
  </si>
  <si>
    <t>Q3 25</t>
  </si>
  <si>
    <t>Q3 26</t>
  </si>
  <si>
    <t>Δ%</t>
  </si>
  <si>
    <t>9M 25</t>
  </si>
  <si>
    <t>9M 26</t>
  </si>
  <si>
    <t>ACTIVOS</t>
  </si>
  <si>
    <t>INGRESOS POR SEGMENTO</t>
  </si>
  <si>
    <t>+51% vs 9M FY25.</t>
  </si>
  <si>
    <t>Utilidad neta 9M FY2026</t>
  </si>
  <si>
    <t>FY2023</t>
  </si>
  <si>
    <t>FY2024</t>
  </si>
  <si>
    <t xml:space="preserve">   Caja y equivalentes</t>
  </si>
  <si>
    <t>28 trimestres seguidos rentable.</t>
  </si>
  <si>
    <t>FY2025</t>
  </si>
  <si>
    <t xml:space="preserve">   Agua y wastewater</t>
  </si>
  <si>
    <t>Margen operativo 9M</t>
  </si>
  <si>
    <t>Q3-25</t>
  </si>
  <si>
    <t>Q3-26</t>
  </si>
  <si>
    <t>9M-25</t>
  </si>
  <si>
    <t>9M-26</t>
  </si>
  <si>
    <t>Q2-25</t>
  </si>
  <si>
    <t>Q2-26</t>
  </si>
  <si>
    <t>Fuente / nota</t>
  </si>
  <si>
    <t>Saltó de 12% a 30%.</t>
  </si>
  <si>
    <t>ESTADO DE RESULTADOS (por segmento)</t>
  </si>
  <si>
    <t>Patrimonio</t>
  </si>
  <si>
    <t>Casi sin deuda.</t>
  </si>
  <si>
    <t>Note receivable (CAB)</t>
  </si>
  <si>
    <t>$59M a cobrar, 6% interés.</t>
  </si>
  <si>
    <t>Derechos agua (activo)</t>
  </si>
  <si>
    <t>Ingresos — Agua y wastewater</t>
  </si>
  <si>
    <t>Baja por CapEx acelerado en Sky Ranch.</t>
  </si>
  <si>
    <t>A costo histórico. Vale mucho más.</t>
  </si>
  <si>
    <t xml:space="preserve">   Caja restringida</t>
  </si>
  <si>
    <t>Conexiones usadas / capacidad</t>
  </si>
  <si>
    <t>1,818 de 60,000: 3% usado.</t>
  </si>
  <si>
    <t>VEREDICTO</t>
  </si>
  <si>
    <t>Tipo de inversión</t>
  </si>
  <si>
    <t xml:space="preserve">   Cuentas por cobrar</t>
  </si>
  <si>
    <t>Compounder de activos</t>
  </si>
  <si>
    <t>Rentable y predecible en su núcleo, con opción enorme sobre agua escasa.</t>
  </si>
  <si>
    <t>Water+wastewater. FY25 aprox.</t>
  </si>
  <si>
    <t>Negocio hoy</t>
  </si>
  <si>
    <t>Sólido y rentable</t>
  </si>
  <si>
    <t>Ingresos — Desarrollo de tierras</t>
  </si>
  <si>
    <t>28 trimestres seguidos con ganancias. 3 segmentos que se complementan.</t>
  </si>
  <si>
    <t xml:space="preserve">   Tierra en desarrollo</t>
  </si>
  <si>
    <t>Balance</t>
  </si>
  <si>
    <t>Fortaleza</t>
  </si>
  <si>
    <t>Casi sin deuda (D/E ~9%), patrimonio 86% de activos. Note receivable de $59M.</t>
  </si>
  <si>
    <t>Lot sales + fees. Sky Ranch.</t>
  </si>
  <si>
    <t>El activo oculto</t>
  </si>
  <si>
    <t>Derechos de agua</t>
  </si>
  <si>
    <t>Ingresos — Alquiler (SFR)</t>
  </si>
  <si>
    <t>Capacidad para 60,000 conexiones, solo 1,818 usadas. A costo histórico en libros.</t>
  </si>
  <si>
    <t>Valoración</t>
  </si>
  <si>
    <t>DCF + NAV agua</t>
  </si>
  <si>
    <t>Rentable → DCF aplica. NAV añade el valor de los derechos de agua ociosos.</t>
  </si>
  <si>
    <t>Single-family rentals.</t>
  </si>
  <si>
    <t>Riesgo/premio</t>
  </si>
  <si>
    <t>Lento pero asimétrico</t>
  </si>
  <si>
    <t>Cíclico con la vivienda; maduración de años. Upside en agua es opción de largo plazo.</t>
  </si>
  <si>
    <t>Inventario de lotes en construcción.</t>
  </si>
  <si>
    <t>INGRESOS TOTALES</t>
  </si>
  <si>
    <t>COMPARACIÓN DE LAS CUATRO (materiales/recursos críticos)</t>
  </si>
  <si>
    <t>Total activo corriente</t>
  </si>
  <si>
    <t>LEU (Centrus)</t>
  </si>
  <si>
    <t>Rentable · enriquecimiento</t>
  </si>
  <si>
    <t>Total revenues.</t>
  </si>
  <si>
    <t>Costo — Agua y wastewater</t>
  </si>
  <si>
    <t>Gana dinero. DCF + opción HALEU. La más grande y cara en múltiplos.</t>
  </si>
  <si>
    <t>Incl deprec/depletion.</t>
  </si>
  <si>
    <t>MP (MP Materials)</t>
  </si>
  <si>
    <t>Costo — Tierras</t>
  </si>
  <si>
    <t>Cruzando breakeven · imanes</t>
  </si>
  <si>
    <t>EBITDA+. Múltiplo EBITDA + NAV. Camino claro a rentabilidad.</t>
  </si>
  <si>
    <t>UUUU (Energy Fuels)</t>
  </si>
  <si>
    <t>Land dev cost.</t>
  </si>
  <si>
    <t>Inversión en agua y sistemas</t>
  </si>
  <si>
    <t>Costo — Alquiler</t>
  </si>
  <si>
    <t>Pierde dinero · opción REE</t>
  </si>
  <si>
    <t>Solo NAV. Balance tipo fondo. La más especulativa.</t>
  </si>
  <si>
    <t>SFR cost.</t>
  </si>
  <si>
    <t>PCYO (Pure Cycle)</t>
  </si>
  <si>
    <t>Costo de ventas total</t>
  </si>
  <si>
    <t>Rentable · agua/tierra</t>
  </si>
  <si>
    <t>El único compounder rentable y predecible. DCF + NAV agua. Maduración lenta.</t>
  </si>
  <si>
    <t>Total cost of revenues.</t>
  </si>
  <si>
    <t>UTILIDAD BRUTA</t>
  </si>
  <si>
    <t>CLAVE: derechos de agua + infraestructura. El activo estrella.</t>
  </si>
  <si>
    <t>GUÍA DE HOJAS: DATOS (fuente+drivers) · Estado Resultados · Balance · Análisis Financiero (6 bloques) · Proyecciones (3 estados enlazados) · Valoración (DCF real+NAV) · Sensibilidad (WACC×g) · Comparables.</t>
  </si>
  <si>
    <t xml:space="preserve">   Tierra para desarrollo</t>
  </si>
  <si>
    <t>Segment profit total (gross).</t>
  </si>
  <si>
    <t>Gastos generales y admin (G&amp;A)</t>
  </si>
  <si>
    <t>DESCARGO: material educativo, no asesoría financiera. Verifica en SEC EDGAR. Alto riesgo; puedes perder capital.</t>
  </si>
  <si>
    <t>G&amp;A expenses.</t>
  </si>
  <si>
    <t>Depreciación (corporativa)</t>
  </si>
  <si>
    <t>Casas de alquiler (SFR)</t>
  </si>
  <si>
    <t>Depreciation.</t>
  </si>
  <si>
    <t xml:space="preserve">   Desarrollo de tierras</t>
  </si>
  <si>
    <t>INGRESO OPERATIVO</t>
  </si>
  <si>
    <t>Operating income.</t>
  </si>
  <si>
    <t>Ingreso por intereses</t>
  </si>
  <si>
    <t>Interest income (note receivable 6-8%).</t>
  </si>
  <si>
    <t>Crece 5→15M: nueva línea de ingresos recurrentes.</t>
  </si>
  <si>
    <t>Gasto por intereses</t>
  </si>
  <si>
    <t>Note receivable (Sky Ranch CAB)</t>
  </si>
  <si>
    <t>Interest expense.</t>
  </si>
  <si>
    <t>Regalías petróleo y gas</t>
  </si>
  <si>
    <t>Oil &amp; gas royalty (Sky Ranch wells). Variable.</t>
  </si>
  <si>
    <t>$59M a cobrar del CAB, 6% interés. Activo real subestimado.</t>
  </si>
  <si>
    <t>Utilidad antes de impuestos</t>
  </si>
  <si>
    <t>TOTAL ACTIVOS</t>
  </si>
  <si>
    <t>Pretax income.</t>
  </si>
  <si>
    <t>Impuesto sobre la renta</t>
  </si>
  <si>
    <t>Income tax (~24%).</t>
  </si>
  <si>
    <t>UTILIDAD NETA</t>
  </si>
  <si>
    <t>PASIVOS Y PATRIMONIO</t>
  </si>
  <si>
    <t>Net income. 28 trimestres seguidos positivos.</t>
  </si>
  <si>
    <t>EBITDA</t>
  </si>
  <si>
    <t xml:space="preserve">   Cuentas por pagar y acumulados</t>
  </si>
  <si>
    <t>FY25 EBITDA reportado ($20.2M).</t>
  </si>
  <si>
    <t>EPS diluido ($)</t>
  </si>
  <si>
    <t xml:space="preserve">   Alquiler (SFR)</t>
  </si>
  <si>
    <t xml:space="preserve">   Ingreso diferido</t>
  </si>
  <si>
    <t>Diluted EPS.</t>
  </si>
  <si>
    <t>Total pasivo corriente</t>
  </si>
  <si>
    <t>Acciones en circulación (M)</t>
  </si>
  <si>
    <t>24.10M (jul 2026).</t>
  </si>
  <si>
    <t>BALANCE GENERAL (fin de periodo)</t>
  </si>
  <si>
    <t>Deuda de largo plazo</t>
  </si>
  <si>
    <t>Caja y equivalentes</t>
  </si>
  <si>
    <t>Cash. Baja por CapEx de Sky Ranch.</t>
  </si>
  <si>
    <t>Caja restringida</t>
  </si>
  <si>
    <t>Restricted (garantías LOC).</t>
  </si>
  <si>
    <t>Cuentas por cobrar</t>
  </si>
  <si>
    <t>SFR notes + Lost Creek (agua) + facility.</t>
  </si>
  <si>
    <t>Accounts receivable.</t>
  </si>
  <si>
    <t>TOTAL PASIVOS</t>
  </si>
  <si>
    <t>Tierra en desarrollo (corriente)</t>
  </si>
  <si>
    <t>Land under development.</t>
  </si>
  <si>
    <t>Current assets.</t>
  </si>
  <si>
    <t>Inversión en agua y sistemas, neto</t>
  </si>
  <si>
    <t>PATRIMONIO TOTAL</t>
  </si>
  <si>
    <t>CLAVE: derechos de agua + infraestructura.</t>
  </si>
  <si>
    <t>Tierra y minerales para desarrollo</t>
  </si>
  <si>
    <t>Land held for development.</t>
  </si>
  <si>
    <t>Crece por utilidades retenidas.</t>
  </si>
  <si>
    <t>Single-family rental units. Crece.</t>
  </si>
  <si>
    <t xml:space="preserve">   Déficit acumulado</t>
  </si>
  <si>
    <t>Note receivable (Sky Ranch CAB), neto</t>
  </si>
  <si>
    <t>Reembolso de mejoras públicas, 6% interés. Activo clave.</t>
  </si>
  <si>
    <t>Se reduce cada trimestre: −33→−24M.</t>
  </si>
  <si>
    <t>Total assets.</t>
  </si>
  <si>
    <t>Cuentas por pagar y acumulados</t>
  </si>
  <si>
    <t>MÉTRICAS DEL BALANCE</t>
  </si>
  <si>
    <t>AP + accrued.</t>
  </si>
  <si>
    <t xml:space="preserve">     Agua % del total</t>
  </si>
  <si>
    <t>Ingreso diferido</t>
  </si>
  <si>
    <t>Deuda neta (deuda − caja)</t>
  </si>
  <si>
    <t>Deferred revenue (land dev).</t>
  </si>
  <si>
    <t>Deuda corriente</t>
  </si>
  <si>
    <t>Current debt.</t>
  </si>
  <si>
    <t>Current liabilities.</t>
  </si>
  <si>
    <t>SFR notes + Lost Creek + facility.</t>
  </si>
  <si>
    <t>Deuda total</t>
  </si>
  <si>
    <t>Total principal (SFR+Lost Creek+facility).</t>
  </si>
  <si>
    <t>Total liabilities.</t>
  </si>
  <si>
    <t>Shareholders' equity.</t>
  </si>
  <si>
    <t>Baja: poca deuda vs caja.</t>
  </si>
  <si>
    <t>Déficit acumulado</t>
  </si>
  <si>
    <t>Razón corriente</t>
  </si>
  <si>
    <t>Se reduce cada trimestre (rentable).</t>
  </si>
  <si>
    <t>FLUJO DE CAJA (acumulado 9M)</t>
  </si>
  <si>
    <t>Flujo de caja operativo</t>
  </si>
  <si>
    <t>OCF 9M. Neg 26 por note receivable (mejoras públicas).</t>
  </si>
  <si>
    <t>Inversión total (investing)</t>
  </si>
  <si>
    <t>Sólida.</t>
  </si>
  <si>
    <t xml:space="preserve">     Tierras % del total</t>
  </si>
  <si>
    <t>Incluye agua, tierras, SFR. Sube fuerte.</t>
  </si>
  <si>
    <t>Deuda / Patrimonio</t>
  </si>
  <si>
    <t xml:space="preserve">  CapEx agua/wastewater</t>
  </si>
  <si>
    <t>Infraestructura de agua.</t>
  </si>
  <si>
    <t xml:space="preserve">  CapEx casas de alquiler</t>
  </si>
  <si>
    <t>Construcción de rentals. Salta.</t>
  </si>
  <si>
    <t>MERCADO Y OPERATIVO (editable)</t>
  </si>
  <si>
    <t>Precio de la acción ($)</t>
  </si>
  <si>
    <t>Muy baja (~9%): apenas apalancada.</t>
  </si>
  <si>
    <t>ACTUALIZAR. ~$10 (jul 2026).</t>
  </si>
  <si>
    <t>Taps de agua vendidos (9M)</t>
  </si>
  <si>
    <t>Patrimonio / Activos</t>
  </si>
  <si>
    <t>161 water taps 9M26.</t>
  </si>
  <si>
    <t>Precio promedio por tap ($K)</t>
  </si>
  <si>
    <t>~$40K por tap.</t>
  </si>
  <si>
    <t>Agua controlada (acre-feet)</t>
  </si>
  <si>
    <t>&gt;30,000 AF portfolio.</t>
  </si>
  <si>
    <t>Capacidad de conexiones (SFE)</t>
  </si>
  <si>
    <t>~86%: estructura muy sólida.</t>
  </si>
  <si>
    <t>Valor contable por acción ($)</t>
  </si>
  <si>
    <t>60,000 conexiones potenciales.</t>
  </si>
  <si>
    <t>Conexiones actuales</t>
  </si>
  <si>
    <t>COSTOS Y UTILIDAD BRUTA</t>
  </si>
  <si>
    <t>Solo 1,818 conectadas: el upside.</t>
  </si>
  <si>
    <t>Lotes restantes Sky Ranch (aprox)</t>
  </si>
  <si>
    <t>Costo de ventas</t>
  </si>
  <si>
    <t>~3,500 de ~5,000 equiv. por desarrollar.</t>
  </si>
  <si>
    <t>SUPUESTOS DE VALORACIÓN (editable)</t>
  </si>
  <si>
    <t>Tasa libre de riesgo (Treasury 10y)</t>
  </si>
  <si>
    <t>Patrimonio / acciones.</t>
  </si>
  <si>
    <t>~4.3%.</t>
  </si>
  <si>
    <t>Prima de riesgo de mercado</t>
  </si>
  <si>
    <t>ERP USA.</t>
  </si>
  <si>
    <t>Lectura: balance excepcionalmente sólido para una empresa de su tamaño. Casi sin deuda (D/E ~9%), patrimonio = 86% de los activos. Dos activos que el mercado tiende a subestimar: (1) los derechos de agua contabilizados a costo histórico ($72M) pero cuyo valor de mercado es múltiplos mayores dado que sirven para 60,000 conexiones; (2) el note receivable de $59M del Sky Ranch CAB que devenga 6%. El déficit acumulado se reduce trimestre a trimestre. La contrapartida: mucho capital "atrapado" en activos de desarrollo de lenta maduración.</t>
  </si>
  <si>
    <t>Beta desapalancado</t>
  </si>
  <si>
    <t>Utility de agua: beta bajo/defensivo. EDITA.</t>
  </si>
  <si>
    <t>Tasa impositiva</t>
  </si>
  <si>
    <t>UTILIDAD BRUTA (segment profit)</t>
  </si>
  <si>
    <t>Efectiva ~24%.</t>
  </si>
  <si>
    <t>Costo de la deuda</t>
  </si>
  <si>
    <t>SFR/Lost Creek 4.9-7.5%.</t>
  </si>
  <si>
    <t>Crecimiento perpetuo (g terminal)</t>
  </si>
  <si>
    <t>Largo plazo.</t>
  </si>
  <si>
    <t>Valor por conexión futura ($K)</t>
  </si>
  <si>
    <t>Para NAV de agua: tap fee neto por conexión. EDITA.</t>
  </si>
  <si>
    <t>PCYO es RENTABLE (28 trimestres seguidos) — a diferencia de UUUU/MP. Se puede valorar por DCF y por multiplos normales.</t>
  </si>
  <si>
    <t>Modelo de negocio unico: monetiza agua + tierra + alquiler en Sky Ranch (comunidad planificada cerca de Denver).</t>
  </si>
  <si>
    <t>El VALOR OCULTO son los derechos de agua: capacidad para ~60,000 conexiones vs 1,818 actuales. Cada tap ~$40K.</t>
  </si>
  <si>
    <t>Note receivable de $59M del Sky Ranch CAB (reembolso de mejoras publicas, 6% interes) es un activo real que a veces se pasa por alto.</t>
  </si>
  <si>
    <t>Ingresos lumpy: lot sales por percent-of-completion + regalias de petroleo/gas variables. Mirar tendencias, no un trimestre.</t>
  </si>
  <si>
    <t xml:space="preserve">  Margen bruto %</t>
  </si>
  <si>
    <t>DRIVERS DE PROYECCIÓN (editables) — para modelo de 3 estados</t>
  </si>
  <si>
    <t>Ingresos base FY2025 ($M)</t>
  </si>
  <si>
    <t>Punto de partida de la proyección.</t>
  </si>
  <si>
    <t>Crecimiento ingresos año 1</t>
  </si>
  <si>
    <t>Sky Ranch acelerado + agua industrial.</t>
  </si>
  <si>
    <t>Crecimiento ingresos año 2</t>
  </si>
  <si>
    <t>Crecimiento ingresos año 3</t>
  </si>
  <si>
    <t>Crecimiento ingresos año 4</t>
  </si>
  <si>
    <t>Desaceleración gradual.</t>
  </si>
  <si>
    <t>Crecimiento ingresos año 5</t>
  </si>
  <si>
    <t>G&amp;A</t>
  </si>
  <si>
    <t>Margen bruto objetivo</t>
  </si>
  <si>
    <t>UB/ventas sostenible (mix segmentos).</t>
  </si>
  <si>
    <t>G&amp;A como % de ventas</t>
  </si>
  <si>
    <t>Se diluye con escala.</t>
  </si>
  <si>
    <t>Depreciación como % de ventas</t>
  </si>
  <si>
    <t>D&amp;A corporativa.</t>
  </si>
  <si>
    <t>CapEx como % de ventas</t>
  </si>
  <si>
    <t>Alto: agua + tierras + SFR en desarrollo.</t>
  </si>
  <si>
    <t>Working capital como % de ventas</t>
  </si>
  <si>
    <t>ΔNWC sobre crecimiento de ventas.</t>
  </si>
  <si>
    <t>Regalías O&amp;G anuales ($M)</t>
  </si>
  <si>
    <t>Ingreso no operativo, decreciente/variable.</t>
  </si>
  <si>
    <t>Interés sobre note receivable</t>
  </si>
  <si>
    <t>6% sobre el note del CAB.</t>
  </si>
  <si>
    <t>Reparto de dividendos</t>
  </si>
  <si>
    <t>Depreciación</t>
  </si>
  <si>
    <t>No paga dividendos (reinvierte).</t>
  </si>
  <si>
    <t xml:space="preserve">  Margen operativo %</t>
  </si>
  <si>
    <t>OTRAS PARTIDAS Y RESULTADO</t>
  </si>
  <si>
    <t>Impuestos</t>
  </si>
  <si>
    <t xml:space="preserve">  Margen neto %</t>
  </si>
  <si>
    <t>TRIMESTRE Q2 (feb) — homólogo</t>
  </si>
  <si>
    <t>Q2 2025</t>
  </si>
  <si>
    <t>Q2 2026</t>
  </si>
  <si>
    <t>Lectura</t>
  </si>
  <si>
    <t>Ingresos totales</t>
  </si>
  <si>
    <t>+30% en el trimestre feb.</t>
  </si>
  <si>
    <t>Utilidad neta</t>
  </si>
  <si>
    <t>+38%. Rentabilidad creciente y consistente.</t>
  </si>
  <si>
    <t>Lectura clave: los ingresos son "lumpy" (irregulares) por dos motivos — las ventas de lotes se reconocen por avance de obra (percent-of-completion) y las regalías de petróleo/gas varían mucho (de $5.9M en 9M25 a $2.2M en 9M26). Por eso hay que mirar tendencias, no un trimestre. Lo consistente y creciente es el NÚCLEO: agua/wastewater (+34% en 9M, disparado por ventas industriales a petroleras) y el desarrollo de Sky Ranch (+70%). El margen operativo saltó de 12% a 30% en 9 meses. La utilidad neta encadena 28 trimestres positivos. Es un compounder lento pero muy predecible en su núcleo, con opcionalidad enorme en los derechos de agua.</t>
  </si>
  <si>
    <t>ANÁLISIS FINANCIERO PROFUNDO — Liquidez · Actividad · Endeudamiento · Rentabilidad · DuPont · Segmentos</t>
  </si>
  <si>
    <t>Metodología completa (Celsia/Murray). Calculado sobre FY2025 (año completo) y 9M-2026 (últimos datos). Todo jala de DATOS.</t>
  </si>
  <si>
    <t>Indicador</t>
  </si>
  <si>
    <t>9M-2026</t>
  </si>
  <si>
    <t>Fórmula e interpretación</t>
  </si>
  <si>
    <t>1 · LIQUIDEZ</t>
  </si>
  <si>
    <t>AC/PC. Capacidad de cubrir pasivos de corto plazo.</t>
  </si>
  <si>
    <t>Prueba ácida</t>
  </si>
  <si>
    <t>(AC−tierra en desarrollo)/PC. Excluye el inventario menos líquido.</t>
  </si>
  <si>
    <t>Prueba hiper-ácida (caja)</t>
  </si>
  <si>
    <t>Caja/PC. Liquidez inmediata.</t>
  </si>
  <si>
    <t>Capital de trabajo ($M)</t>
  </si>
  <si>
    <t>AC−PC. Colchón operativo.</t>
  </si>
  <si>
    <t>Caja + restringida + note recv ($M)</t>
  </si>
  <si>
    <t>Liquidez ampliada incluyendo cobros del CAB.</t>
  </si>
  <si>
    <t>2 · ACTIVIDAD (eficiencia)</t>
  </si>
  <si>
    <t>Rotación de CxC</t>
  </si>
  <si>
    <t>Ventas/CxC. Velocidad de cobro.</t>
  </si>
  <si>
    <t>Días de CxC (PMC)</t>
  </si>
  <si>
    <t>Periodo medio de cobro.</t>
  </si>
  <si>
    <t>Rotación de tierra en desarrollo</t>
  </si>
  <si>
    <t>Costo/inventario de lotes. Ritmo de venta de lotes.</t>
  </si>
  <si>
    <t>Días de inventario de lotes (PME)</t>
  </si>
  <si>
    <t>Cuánto tarda en vender el inventario de lotes.</t>
  </si>
  <si>
    <t>Rotación de CxP</t>
  </si>
  <si>
    <t>Costo/CxP.</t>
  </si>
  <si>
    <t>Días de CxP (PMP)</t>
  </si>
  <si>
    <t>Periodo medio de pago.</t>
  </si>
  <si>
    <t>Ciclo de conversión de efectivo</t>
  </si>
  <si>
    <t>PME+PMC−PMP. Días que la empresa financia el ciclo.</t>
  </si>
  <si>
    <t>Rotación de activos totales</t>
  </si>
  <si>
    <t>Ventas/Activos. Baja: negocio intensivo en activos (agua/tierra).</t>
  </si>
  <si>
    <t>Rotación de activos de agua</t>
  </si>
  <si>
    <t>Ingresos de agua / activos de agua. Aún muy baja: infrautilizados.</t>
  </si>
  <si>
    <t>3 · ENDEUDAMIENTO Y SOLVENCIA</t>
  </si>
  <si>
    <t>Nivel de endeudamiento</t>
  </si>
  <si>
    <t>Pasivo/Activo. Muy bajo (~13%).</t>
  </si>
  <si>
    <t>Apalancamiento (Pasivo/Patrimonio)</t>
  </si>
  <si>
    <t>Estructura conservadora.</t>
  </si>
  <si>
    <t>Deuda financiera/Patrimonio</t>
  </si>
  <si>
    <t>Solo deuda con costo. ~9%.</t>
  </si>
  <si>
    <t>Cobertura de intereses</t>
  </si>
  <si>
    <t>EBIT/Intereses. Holgadísima.</t>
  </si>
  <si>
    <t>Concentración deuda CP</t>
  </si>
  <si>
    <t>% de deuda que vence en un año.</t>
  </si>
  <si>
    <t>4 · RENTABILIDAD</t>
  </si>
  <si>
    <t>Margen bruto</t>
  </si>
  <si>
    <t>UB/Ventas.</t>
  </si>
  <si>
    <t>Margen operativo</t>
  </si>
  <si>
    <t>Op income/Ventas. Saltó a ~30% en 9M26.</t>
  </si>
  <si>
    <t>Margen EBITDA</t>
  </si>
  <si>
    <t>FY25 EBITDA/Ventas (~77%, incl. regalías).</t>
  </si>
  <si>
    <t>Margen neto</t>
  </si>
  <si>
    <t>UN/Ventas.</t>
  </si>
  <si>
    <t>ROA</t>
  </si>
  <si>
    <t>UN/Activos. Bajo: activos de lenta maduración.</t>
  </si>
  <si>
    <t>ROE</t>
  </si>
  <si>
    <t>UN/Patrimonio.</t>
  </si>
  <si>
    <t>ROIC aprox (NOPLAT/cap. invertido)</t>
  </si>
  <si>
    <t>Retorno sobre capital invertido. Mejora con la maduración.</t>
  </si>
  <si>
    <t>5 · ANÁLISIS DUPONT (descompone el ROE)</t>
  </si>
  <si>
    <t>(1) Margen neto</t>
  </si>
  <si>
    <t>Rentabilidad.</t>
  </si>
  <si>
    <t>(2) Rotación de activos</t>
  </si>
  <si>
    <t>Eficiencia. Baja (intensivo en activos).</t>
  </si>
  <si>
    <t>(3) Multiplicador de capital</t>
  </si>
  <si>
    <t>Apalancamiento. Bajo (~1.16x).</t>
  </si>
  <si>
    <t>ROE = (1)×(2)×(3)</t>
  </si>
  <si>
    <t>Verificación DuPont. Debe igualar el ROE de arriba.</t>
  </si>
  <si>
    <t>6 · MARGEN BRUTO POR SEGMENTO (9M-2026)</t>
  </si>
  <si>
    <t>Segmento</t>
  </si>
  <si>
    <t>Margen</t>
  </si>
  <si>
    <t>Ingreso 9M</t>
  </si>
  <si>
    <t>Nota</t>
  </si>
  <si>
    <t>Agua y wastewater</t>
  </si>
  <si>
    <t>Margen alto y recurrente. El foso del negocio.</t>
  </si>
  <si>
    <t>Desarrollo de tierras</t>
  </si>
  <si>
    <t>Cíclico pero rentable. Financia el crecimiento.</t>
  </si>
  <si>
    <t>Alquiler (SFR)</t>
  </si>
  <si>
    <t>Pequeño pero recurrente y creciente.</t>
  </si>
  <si>
    <t>Diagnóstico integral: PCYO es un negocio de CALIDAD pero intensivo en activos. Los cuatro bloques muestran: (1) Liquidez sólida; (2) Actividad — la rotación de activos de agua es bajísima porque solo usa ~3% de su capacidad de conexiones (1,818 de 60,000), lo que es a la vez la debilidad del ROE hoy y la enorme opcionalidad futura; (3) Endeudamiento mínimo (~13%), muy conservador; (4) Rentabilidad — márgenes altos y crecientes, con el segmento de agua como el más rentable y recurrente. El DuPont confirma que el ROE modesto viene de la baja rotación (activos que aún no producen), NO de falta de márgenes. La tesis: a medida que Sky Ranch se llena y se venden más taps, esa capacidad ociosa de agua se convierte en ingresos de altísimo margen sin apenas capital adicional. Es un compounder de maduración lenta.</t>
  </si>
  <si>
    <t>MODELO DE TRES ESTADOS PROYECTADOS Y ENLAZADOS (5 años)</t>
  </si>
  <si>
    <t>Resultados → Balance → Flujo de caja, enlazados. Drivers en DATOS (amarillo). DESCUADRE verifica Activo = Pasivo+Patrimonio (=0). El flujo de caja conecta la utilidad con la caja del balance.</t>
  </si>
  <si>
    <t>Base FY25</t>
  </si>
  <si>
    <t>Año 1</t>
  </si>
  <si>
    <t>Año 2</t>
  </si>
  <si>
    <t>Año 3</t>
  </si>
  <si>
    <t>Año 4</t>
  </si>
  <si>
    <t>Año 5</t>
  </si>
  <si>
    <t>Notas / enlace</t>
  </si>
  <si>
    <t>1 · ESTADO DE RESULTADOS</t>
  </si>
  <si>
    <t>Crece por drivers.</t>
  </si>
  <si>
    <t xml:space="preserve">  Crecimiento %</t>
  </si>
  <si>
    <t>Ventas×(1−margen bruto).</t>
  </si>
  <si>
    <t>Utilidad bruta</t>
  </si>
  <si>
    <t xml:space="preserve">   G&amp;A</t>
  </si>
  <si>
    <t>% de ventas.</t>
  </si>
  <si>
    <t xml:space="preserve">   Depreciación</t>
  </si>
  <si>
    <t>Ingreso operativo (EBIT)</t>
  </si>
  <si>
    <t xml:space="preserve">   (+) Interés sobre note receivable</t>
  </si>
  <si>
    <t>6% sobre note recv del año anterior (enlace al balance).</t>
  </si>
  <si>
    <t xml:space="preserve">   (+) Regalías petróleo y gas</t>
  </si>
  <si>
    <t>Driver.</t>
  </si>
  <si>
    <t xml:space="preserve">   (−) Gasto por intereses (deuda)</t>
  </si>
  <si>
    <t>Sobre deuda del año anterior.</t>
  </si>
  <si>
    <t xml:space="preserve">   (−) Impuestos</t>
  </si>
  <si>
    <t>Tasa efectiva de DATOS.</t>
  </si>
  <si>
    <t>2 · BALANCE GENERAL</t>
  </si>
  <si>
    <t>← Caja final del Flujo de caja (enlace clave).</t>
  </si>
  <si>
    <t>Mantiene ratio CxC/ventas base.</t>
  </si>
  <si>
    <t>Ratio inventario/ventas.</t>
  </si>
  <si>
    <t>Crece ~3%/año (mejoras públicas netas de cobros).</t>
  </si>
  <si>
    <t>+ mitad del CapEx − depreciación.</t>
  </si>
  <si>
    <t>Casas de alquiler + otros fijos</t>
  </si>
  <si>
    <t>+ mitad del CapEx (SFR/otros).</t>
  </si>
  <si>
    <t>Otros activos (resto)</t>
  </si>
  <si>
    <t>Resto de activos, constante.</t>
  </si>
  <si>
    <t xml:space="preserve">   Cuentas por pagar y otros</t>
  </si>
  <si>
    <t>Ratio pasivo corriente/ventas.</t>
  </si>
  <si>
    <t>Deuda previa + variación del flujo de financiación.</t>
  </si>
  <si>
    <t>PATRIMONIO</t>
  </si>
  <si>
    <t>Patrimonio previo + utilidad − dividendos.</t>
  </si>
  <si>
    <t>TOTAL PASIVO + PATRIMONIO</t>
  </si>
  <si>
    <t>DESCUADRE (Activo − Pas − Patr)</t>
  </si>
  <si>
    <t>DEBE SER ~0. Verifica cuadre contable.</t>
  </si>
  <si>
    <t>3 · FLUJO DE CAJA</t>
  </si>
  <si>
    <t>← del Estado de resultados.</t>
  </si>
  <si>
    <t xml:space="preserve">   (+) Depreciación</t>
  </si>
  <si>
    <t>No-caja, se suma.</t>
  </si>
  <si>
    <t xml:space="preserve">   (−) Δ Capital de trabajo</t>
  </si>
  <si>
    <t>Crecimiento de ventas × % NWC.</t>
  </si>
  <si>
    <t xml:space="preserve">   (−) CapEx</t>
  </si>
  <si>
    <t>Flujo de caja libre (FCF)</t>
  </si>
  <si>
    <t>OCF − CapEx. ESTE alimenta el DCF.</t>
  </si>
  <si>
    <t xml:space="preserve">   (+/−) Variación de deuda</t>
  </si>
  <si>
    <t>Si el FCF no cubre, toma deuda (plug simple).</t>
  </si>
  <si>
    <t xml:space="preserve">   (−) Dividendos</t>
  </si>
  <si>
    <t>Payout (0% hoy).</t>
  </si>
  <si>
    <t>Δ Caja neta</t>
  </si>
  <si>
    <t xml:space="preserve">   Caja inicial</t>
  </si>
  <si>
    <t>Caja del año anterior.</t>
  </si>
  <si>
    <t>Caja final</t>
  </si>
  <si>
    <t>→ va a Caja del Balance.</t>
  </si>
  <si>
    <t>Cómo leerlo: los tres estados están enlazados como en un modelo profesional. La utilidad neta del Resultado alimenta el Flujo de caja; el Flujo calcula la caja final que entra al Balance; el Balance cuadra (Descuadre≈0). El FCF (verde) es el que descontamos en el DCF de la hoja Valoración. Cambia cualquier driver en DATOS y los tres estados se recalculan juntos.</t>
  </si>
  <si>
    <t>VALORACIÓN PROFUNDA — WACC · NOPLAT/ROIC/g · DCF · Múltiplos · NAV (suma de partes)</t>
  </si>
  <si>
    <t>PCYO es rentable → se puede valorar por DCF (a diferencia de UUUU). Además NAV por derechos de agua. Amarillo = editable.</t>
  </si>
  <si>
    <t>1 · COSTO DE CAPITAL (WACC vía CAPM)</t>
  </si>
  <si>
    <t>Tasa libre de riesgo (Rf)</t>
  </si>
  <si>
    <t>De DATOS.</t>
  </si>
  <si>
    <t>Prima de riesgo (ERP)</t>
  </si>
  <si>
    <t>Beta desapalancado (βu)</t>
  </si>
  <si>
    <t>Utility de agua: defensivo, beta bajo. De DATOS.</t>
  </si>
  <si>
    <t>Valor de mercado del equity (E)</t>
  </si>
  <si>
    <t>Precio × 24.1M acciones.</t>
  </si>
  <si>
    <t>Valor de la deuda (D)</t>
  </si>
  <si>
    <t>Deuda total (de DATOS).</t>
  </si>
  <si>
    <t>Peso deuda D/(D+E)</t>
  </si>
  <si>
    <t>ANÁLISIS DE SENSIBILIDAD — Valor intrínseco por acción</t>
  </si>
  <si>
    <t>Peso equity E/(D+E)</t>
  </si>
  <si>
    <t>Muestra cómo cambia el valor por acción del DCF según WACC (filas) y crecimiento perpetuo g (columnas). El centro (resaltado) es el escenario base. Así se ve el RANGO de valor, no un número único — lo que exige un análisis profesional.</t>
  </si>
  <si>
    <t>Tasa impositiva (t)</t>
  </si>
  <si>
    <t>WACC \ g →</t>
  </si>
  <si>
    <t>Beta apalancado (βL, Hamada)</t>
  </si>
  <si>
    <t>βu×(1+(1−t)×D/E).</t>
  </si>
  <si>
    <t>Costo del equity (Ke = CAPM)</t>
  </si>
  <si>
    <t>Rf + βL × ERP.</t>
  </si>
  <si>
    <t>Costo de la deuda (Kd)</t>
  </si>
  <si>
    <t>WACC</t>
  </si>
  <si>
    <t>We×Ke + Wd×Kd(1−t).</t>
  </si>
  <si>
    <t>2 · CREACIÓN DE VALOR (NOPLAT · ROIC · g endógeno) — base 9M-2026 anualizado</t>
  </si>
  <si>
    <t>Ingreso operativo anualizado (9M×4/3) ($M)</t>
  </si>
  <si>
    <t>Anualiza los 9 meses. Aproximación.</t>
  </si>
  <si>
    <t>NOPLAT (op × (1−t)) ($M)</t>
  </si>
  <si>
    <t>Utilidad operativa neta de impuestos.</t>
  </si>
  <si>
    <t>Capital invertido ($M)</t>
  </si>
  <si>
    <t>Patrimonio + deuda − caja.</t>
  </si>
  <si>
    <t>ROIC (NOPLAT/Capital invertido)</t>
  </si>
  <si>
    <t>Retorno sobre capital. Bajo hoy (activos infrautilizados); sube con la maduración.</t>
  </si>
  <si>
    <t>Spread (ROIC − WACC)</t>
  </si>
  <si>
    <t>&gt;0 crea valor; &lt;0 lo destruye (hoy). Mejora con volumen de conexiones.</t>
  </si>
  <si>
    <t>3 · DCF — Flujo de Caja Libre REAL (desde Proyecciones)</t>
  </si>
  <si>
    <t>Año</t>
  </si>
  <si>
    <t>FCF ($M)</t>
  </si>
  <si>
    <t>VP ($M)</t>
  </si>
  <si>
    <t>FCF viene de la hoja Proyecciones (fila FCF).</t>
  </si>
  <si>
    <t>Valor terminal (Gordon)</t>
  </si>
  <si>
    <t>Terminal sobre FCF NORMALIZADO (EBIT×(1−t), CapEx=deprec en madurez). Evita subvalorar por CapEx de crecimiento.</t>
  </si>
  <si>
    <t>Valor empresa (EV) ($M)</t>
  </si>
  <si>
    <t>(+) Caja + note recv − deuda ($M)</t>
  </si>
  <si>
    <t>Puente EV→equity.</t>
  </si>
  <si>
    <t>Valor del patrimonio ($M)</t>
  </si>
  <si>
    <t>Valor intrínseco por acción — DCF ($)</t>
  </si>
  <si>
    <t>4 · NAV / SUMA DE PARTES (valor de los activos, incl. derechos de agua)</t>
  </si>
  <si>
    <t>(+) Patrimonio contable ($M)</t>
  </si>
  <si>
    <t>Book value actual.</t>
  </si>
  <si>
    <t>(+) Valor derechos de agua no usados</t>
  </si>
  <si>
    <t>(60,000−1,818) conexiones × $30K neto/conexión. MUY editable — el gran comodín.</t>
  </si>
  <si>
    <t>NAV total (con opción agua) ($M)</t>
  </si>
  <si>
    <t>Book value + valor de los derechos de agua ociosos.</t>
  </si>
  <si>
    <t>NAV por acción ($)</t>
  </si>
  <si>
    <t>5 · SÍNTESIS Y MÚLTIPLOS</t>
  </si>
  <si>
    <t>Capitalización de mercado ($M)</t>
  </si>
  <si>
    <t>Precio × acciones.</t>
  </si>
  <si>
    <t>P/U (sobre 9M anualizado)</t>
  </si>
  <si>
    <t>Precio/utilidad anualizada.</t>
  </si>
  <si>
    <t>P/VC (precio/valor contable)</t>
  </si>
  <si>
    <t>Bajo P/VC puede indicar valor oculto (agua a costo histórico).</t>
  </si>
  <si>
    <t>Valor DCF por acción ($)</t>
  </si>
  <si>
    <t>Escenario de negocio en marcha.</t>
  </si>
  <si>
    <t>Valor NAV por acción ($)</t>
  </si>
  <si>
    <t>Valor de activos incl. derechos de agua.</t>
  </si>
  <si>
    <t>Precio de mercado ($)</t>
  </si>
  <si>
    <t>Margen de seguridad (vs DCF / vs NAV)</t>
  </si>
  <si>
    <t>Positivo = infravalorada. NAV suele dar más upside por los derechos de agua.</t>
  </si>
  <si>
    <t>ADVERTENCIA: el DCF de PCYO es sensible al crecimiento (Sky Ranch tiene 8-10 años de desarrollo, pero es cíclico con la vivienda) y el NAV depende del valor asignado a los derechos de agua ociosos ($30K/conexión × 58,000 conexiones es el gran comodín — podría ser mucho más o menos según el desarrollo del área de Denver). El valor "duro" es el patrimonio contable + note receivable; el resto es opcionalidad sobre agua y tierra. A diferencia de los tres mineros, aquí SÍ hay ganancias reales y 28 trimestres de rentabilidad que anclan la valoración, pero el gran upside sigue siendo una opción de maduración lenta sobre un recurso escaso (agua en Colorado).</t>
  </si>
  <si>
    <t>ANÁLISIS DE COMPARABLES (Comps) — múltiplos de mercado</t>
  </si>
  <si>
    <t>Ancla la valoración de PCYO contra empresas similares (agua, tierras, utilities de recursos). Los múltiplos son aproximados/editables (azul) — en un caso real se sacan de Bloomberg/CapIQ. Se aplica la mediana a PCYO.</t>
  </si>
  <si>
    <t>Empresa</t>
  </si>
  <si>
    <t>Ticker</t>
  </si>
  <si>
    <t>P/U</t>
  </si>
  <si>
    <t>P/VC</t>
  </si>
  <si>
    <t>EV/EBITDA</t>
  </si>
  <si>
    <t>American States Water</t>
  </si>
  <si>
    <t>AWR</t>
  </si>
  <si>
    <t>Utility de agua regulada, premium.</t>
  </si>
  <si>
    <t>California Water Service</t>
  </si>
  <si>
    <t>CWT</t>
  </si>
  <si>
    <t>Utility de agua, California.</t>
  </si>
  <si>
    <t>SJW Group</t>
  </si>
  <si>
    <t>SJW</t>
  </si>
  <si>
    <t>Utility de agua regional.</t>
  </si>
  <si>
    <t>The St. Joe Company</t>
  </si>
  <si>
    <t>JOE</t>
  </si>
  <si>
    <t>Desarrollo de tierras (Florida). Comparable de land.</t>
  </si>
  <si>
    <t>Texas Pacific Land</t>
  </si>
  <si>
    <t>TPL</t>
  </si>
  <si>
    <t>Tierra + agua + regalías. Premium extremo.</t>
  </si>
  <si>
    <t>Limoneira</t>
  </si>
  <si>
    <t>LMNR</t>
  </si>
  <si>
    <t>Agua + tierra agrícola.</t>
  </si>
  <si>
    <t>MEDIANA</t>
  </si>
  <si>
    <t>Mediana: menos sensible a extremos (TPL).</t>
  </si>
  <si>
    <t>VALORACIÓN IMPLÍCITA DE PCYO POR COMPS</t>
  </si>
  <si>
    <t>Métrica</t>
  </si>
  <si>
    <t>PCYO base</t>
  </si>
  <si>
    <t>× múltiplo med.</t>
  </si>
  <si>
    <t>Valor/acción</t>
  </si>
  <si>
    <t>Base</t>
  </si>
  <si>
    <t>Por P/U</t>
  </si>
  <si>
    <t>Utilidad neta anualizada × P/U mediana.</t>
  </si>
  <si>
    <t>Por P/VC</t>
  </si>
  <si>
    <t>Patrimonio × P/VC mediana.</t>
  </si>
  <si>
    <t>Por EV/EBITDA</t>
  </si>
  <si>
    <t>(EBITDA × múltiplo + caja − deuda)/acciones.</t>
  </si>
  <si>
    <t>PROMEDIO COMPS</t>
  </si>
  <si>
    <t>Promedio de los tres métodos de comps.</t>
  </si>
  <si>
    <t>Precio de mercado actual:</t>
  </si>
  <si>
    <t>Nota metodológica: los comps de utilities de agua (AWR, CWT, SJW) capturan el segmento recurrente; los de tierra (JOE, TPL) el desarrollo. TPL es un outlier premium (tierra+agua+regalías en Texas), por eso se usa la MEDIANA y no el promedio. PCYO comparte rasgos de ambos grupos, lo que justifica un múltiplo mixto. Los comps por P/VC suelen subvalorar a PCYO porque sus derechos de agua están a costo histórico — de ahí que el NAV (hoja Valoración) sea un complemento necesario.</t>
  </si>
  <si>
    <t>Compara cada celda contra este precio: verde = infravalorada, rojo = sobrevalorada.</t>
  </si>
  <si>
    <t>Lectura: el valor por acción NO es un número único sino un rango. Con WACC de 8.4% y g de 3% (centro), el DCF da el valor base. Bajar el WACC o subir g dispara el valor (esquina inferior derecha); lo contrario lo hunde (esquina superior izquierda). Esto es lo que un comité de inversión quiere ver: cuánto depende la tesis de los supuestos. Si toda la esquina supera el precio de mercado, el margen de seguridad es robusto; si solo unas celdas, es frágil.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</si>
</sst>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.00;&quot;($&quot;#,##0.00\);\-"/>
    <numFmt numFmtId="166" formatCode="0.0%"/>
    <numFmt numFmtId="167" formatCode="0.00\x"/>
    <numFmt numFmtId="168" formatCode="#,##0&quot; d&quot;"/>
    <numFmt numFmtId="169" formatCode="0.0\x"/>
    <numFmt numFmtId="170" formatCode="\$#,##0.0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4.0"/>
      <color rgb="FFFFFFFF"/>
      <name val="Arial"/>
    </font>
    <font/>
    <font>
      <i/>
      <sz val="8.0"/>
      <color rgb="FF808080"/>
      <name val="Arial"/>
    </font>
    <font>
      <b/>
      <sz val="11.0"/>
      <color theme="1"/>
      <name val="Arial"/>
    </font>
    <font>
      <b/>
      <sz val="13.0"/>
      <color rgb="FFFFFFFF"/>
      <name val="Arial"/>
    </font>
    <font>
      <b/>
      <sz val="10.0"/>
      <color theme="1"/>
      <name val="Arial"/>
    </font>
    <font>
      <sz val="10.0"/>
      <color rgb="FF008000"/>
      <name val="Arial"/>
    </font>
    <font>
      <b/>
      <sz val="9.0"/>
      <color rgb="FFFFFFFF"/>
      <name val="Arial"/>
    </font>
    <font>
      <b/>
      <sz val="10.0"/>
      <color rgb="FF1F4E3D"/>
      <name val="Arial"/>
    </font>
    <font>
      <b/>
      <sz val="9.0"/>
      <color rgb="FF1F4E3D"/>
      <name val="Arial"/>
    </font>
    <font>
      <sz val="10.0"/>
      <color rgb="FF000000"/>
      <name val="Arial"/>
    </font>
    <font>
      <sz val="10.0"/>
      <color rgb="FF0000FF"/>
      <name val="Arial"/>
    </font>
    <font>
      <sz val="9.0"/>
      <color rgb="FF404040"/>
      <name val="Arial"/>
    </font>
    <font>
      <b/>
      <sz val="10.0"/>
      <color rgb="FF008000"/>
      <name val="Arial"/>
    </font>
    <font>
      <b/>
      <sz val="9.0"/>
      <color theme="1"/>
      <name val="Arial"/>
    </font>
    <font>
      <i/>
      <sz val="8.0"/>
      <color rgb="FF606060"/>
      <name val="Arial"/>
    </font>
    <font>
      <i/>
      <sz val="8.0"/>
      <color rgb="FFC00000"/>
      <name val="Arial"/>
    </font>
    <font>
      <i/>
      <sz val="9.0"/>
      <color rgb="FF1F4E3D"/>
      <name val="Arial"/>
    </font>
    <font>
      <sz val="8.0"/>
      <color rgb="FF606060"/>
      <name val="Arial"/>
    </font>
    <font>
      <b/>
      <sz val="10.0"/>
      <color rgb="FFFFFFFF"/>
      <name val="Arial"/>
    </font>
    <font>
      <sz val="8.0"/>
      <color rgb="FF404040"/>
      <name val="Arial"/>
    </font>
    <font>
      <b/>
      <sz val="12.0"/>
      <color rgb="FFFFFFFF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1F4E3D"/>
        <bgColor rgb="FF1F4E3D"/>
      </patternFill>
    </fill>
    <fill>
      <patternFill patternType="solid">
        <fgColor rgb="FFD9E9E1"/>
        <bgColor rgb="FFD9E9E1"/>
      </patternFill>
    </fill>
    <fill>
      <patternFill patternType="solid">
        <fgColor rgb="FF548235"/>
        <bgColor rgb="FF548235"/>
      </patternFill>
    </fill>
    <fill>
      <patternFill patternType="solid">
        <fgColor rgb="FF2E7D5B"/>
        <bgColor rgb="FF2E7D5B"/>
      </patternFill>
    </fill>
    <fill>
      <patternFill patternType="solid">
        <fgColor rgb="FFBF8F00"/>
        <bgColor rgb="FFBF8F00"/>
      </patternFill>
    </fill>
    <fill>
      <patternFill patternType="solid">
        <fgColor rgb="FFBDD7CE"/>
        <bgColor rgb="FFBDD7CE"/>
      </patternFill>
    </fill>
    <fill>
      <patternFill patternType="solid">
        <fgColor rgb="FFFFF2CC"/>
        <bgColor rgb="FFFFF2CC"/>
      </patternFill>
    </fill>
    <fill>
      <patternFill patternType="solid">
        <fgColor rgb="FFE2F0EA"/>
        <bgColor rgb="FFE2F0EA"/>
      </patternFill>
    </fill>
    <fill>
      <patternFill patternType="solid">
        <fgColor rgb="FFC6E0B4"/>
        <bgColor rgb="FFC6E0B4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E699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right/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left" shrinkToFit="0" vertical="center" wrapText="1"/>
    </xf>
    <xf borderId="4" fillId="3" fontId="5" numFmtId="0" xfId="0" applyAlignment="1" applyBorder="1" applyFill="1" applyFont="1">
      <alignment shrinkToFit="0" vertical="bottom" wrapText="0"/>
    </xf>
    <xf borderId="1" fillId="2" fontId="6" numFmtId="0" xfId="0" applyAlignment="1" applyBorder="1" applyFont="1">
      <alignment horizontal="center" shrinkToFit="0" vertical="center" wrapText="1"/>
    </xf>
    <xf borderId="4" fillId="3" fontId="1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horizontal="left" shrinkToFit="0" vertical="center" wrapText="1"/>
    </xf>
    <xf borderId="4" fillId="0" fontId="8" numFmtId="164" xfId="0" applyAlignment="1" applyBorder="1" applyFont="1" applyNumberFormat="1">
      <alignment horizontal="center" shrinkToFit="0" vertical="center" wrapText="1"/>
    </xf>
    <xf borderId="5" fillId="4" fontId="9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5" fillId="5" fontId="9" numFmtId="0" xfId="0" applyAlignment="1" applyBorder="1" applyFill="1" applyFont="1">
      <alignment horizontal="center" shrinkToFit="0" vertical="center" wrapText="1"/>
    </xf>
    <xf borderId="6" fillId="0" fontId="3" numFmtId="0" xfId="0" applyBorder="1" applyFont="1"/>
    <xf borderId="7" fillId="0" fontId="3" numFmtId="0" xfId="0" applyBorder="1" applyFont="1"/>
    <xf borderId="4" fillId="5" fontId="9" numFmtId="0" xfId="0" applyAlignment="1" applyBorder="1" applyFont="1">
      <alignment shrinkToFit="0" vertical="bottom" wrapText="0"/>
    </xf>
    <xf borderId="5" fillId="6" fontId="9" numFmtId="0" xfId="0" applyAlignment="1" applyBorder="1" applyFill="1" applyFont="1">
      <alignment horizontal="center" shrinkToFit="0" vertical="center" wrapText="1"/>
    </xf>
    <xf borderId="4" fillId="0" fontId="8" numFmtId="165" xfId="0" applyAlignment="1" applyBorder="1" applyFont="1" applyNumberFormat="1">
      <alignment horizontal="center" shrinkToFit="0" vertical="center" wrapText="1"/>
    </xf>
    <xf borderId="4" fillId="5" fontId="9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shrinkToFit="0" vertical="bottom" wrapText="0"/>
    </xf>
    <xf borderId="4" fillId="3" fontId="11" numFmtId="0" xfId="0" applyAlignment="1" applyBorder="1" applyFont="1">
      <alignment shrinkToFit="0" vertical="bottom" wrapText="0"/>
    </xf>
    <xf borderId="4" fillId="5" fontId="9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4" fillId="0" fontId="8" numFmtId="166" xfId="0" applyAlignment="1" applyBorder="1" applyFont="1" applyNumberFormat="1">
      <alignment horizontal="center" shrinkToFit="0" vertical="center" wrapText="1"/>
    </xf>
    <xf borderId="4" fillId="7" fontId="10" numFmtId="0" xfId="0" applyAlignment="1" applyBorder="1" applyFill="1" applyFont="1">
      <alignment horizontal="left" shrinkToFit="0" vertical="center" wrapText="1"/>
    </xf>
    <xf borderId="4" fillId="7" fontId="1" numFmtId="0" xfId="0" applyAlignment="1" applyBorder="1" applyFont="1">
      <alignment shrinkToFit="0" vertical="bottom" wrapText="0"/>
    </xf>
    <xf borderId="4" fillId="8" fontId="12" numFmtId="0" xfId="0" applyAlignment="1" applyBorder="1" applyFill="1" applyFont="1">
      <alignment horizontal="center" shrinkToFit="0" vertical="center" wrapText="1"/>
    </xf>
    <xf borderId="4" fillId="8" fontId="13" numFmtId="165" xfId="0" applyAlignment="1" applyBorder="1" applyFont="1" applyNumberFormat="1">
      <alignment horizontal="center" shrinkToFit="0" vertical="center" wrapText="1"/>
    </xf>
    <xf borderId="4" fillId="9" fontId="13" numFmtId="165" xfId="0" applyAlignment="1" applyBorder="1" applyFill="1" applyFont="1" applyNumberFormat="1">
      <alignment horizontal="center" shrinkToFit="0" vertical="center" wrapText="1"/>
    </xf>
    <xf borderId="4" fillId="10" fontId="7" numFmtId="0" xfId="0" applyAlignment="1" applyBorder="1" applyFill="1" applyFont="1">
      <alignment horizontal="center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0" fontId="14" numFmtId="0" xfId="0" applyAlignment="1" applyBorder="1" applyFont="1">
      <alignment horizontal="left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0" fontId="15" numFmtId="165" xfId="0" applyAlignment="1" applyBorder="1" applyFont="1" applyNumberFormat="1">
      <alignment horizontal="center" shrinkToFit="0" vertical="center" wrapText="1"/>
    </xf>
    <xf borderId="4" fillId="0" fontId="16" numFmtId="0" xfId="0" applyAlignment="1" applyBorder="1" applyFont="1">
      <alignment horizontal="left" shrinkToFit="0" vertical="center" wrapText="1"/>
    </xf>
    <xf borderId="4" fillId="0" fontId="12" numFmtId="166" xfId="0" applyAlignment="1" applyBorder="1" applyFont="1" applyNumberFormat="1">
      <alignment horizontal="center" shrinkToFit="0" vertical="center" wrapText="1"/>
    </xf>
    <xf borderId="0" fillId="0" fontId="17" numFmtId="0" xfId="0" applyAlignment="1" applyFont="1">
      <alignment horizontal="left" shrinkToFit="0" vertical="center" wrapText="1"/>
    </xf>
    <xf borderId="0" fillId="0" fontId="18" numFmtId="0" xfId="0" applyAlignment="1" applyFont="1">
      <alignment horizontal="left" shrinkToFit="0" vertical="center" wrapText="1"/>
    </xf>
    <xf borderId="4" fillId="9" fontId="13" numFmtId="164" xfId="0" applyAlignment="1" applyBorder="1" applyFont="1" applyNumberFormat="1">
      <alignment horizontal="center" shrinkToFit="0" vertical="center" wrapText="1"/>
    </xf>
    <xf borderId="4" fillId="9" fontId="13" numFmtId="4" xfId="0" applyAlignment="1" applyBorder="1" applyFont="1" applyNumberFormat="1">
      <alignment horizontal="center" shrinkToFit="0" vertical="center" wrapText="1"/>
    </xf>
    <xf borderId="4" fillId="0" fontId="12" numFmtId="165" xfId="0" applyAlignment="1" applyBorder="1" applyFont="1" applyNumberFormat="1">
      <alignment horizontal="center" shrinkToFit="0" vertical="center" wrapText="1"/>
    </xf>
    <xf borderId="4" fillId="0" fontId="1" numFmtId="0" xfId="0" applyAlignment="1" applyBorder="1" applyFont="1">
      <alignment shrinkToFit="0" vertical="bottom" wrapText="0"/>
    </xf>
    <xf borderId="4" fillId="0" fontId="12" numFmtId="167" xfId="0" applyAlignment="1" applyBorder="1" applyFont="1" applyNumberFormat="1">
      <alignment horizontal="center" shrinkToFit="0" vertical="center" wrapText="1"/>
    </xf>
    <xf borderId="4" fillId="9" fontId="13" numFmtId="3" xfId="0" applyAlignment="1" applyBorder="1" applyFont="1" applyNumberFormat="1">
      <alignment horizontal="center" shrinkToFit="0" vertical="center" wrapText="1"/>
    </xf>
    <xf borderId="4" fillId="0" fontId="12" numFmtId="164" xfId="0" applyAlignment="1" applyBorder="1" applyFont="1" applyNumberFormat="1">
      <alignment horizontal="center" shrinkToFit="0" vertical="center" wrapText="1"/>
    </xf>
    <xf borderId="4" fillId="9" fontId="13" numFmtId="166" xfId="0" applyAlignment="1" applyBorder="1" applyFont="1" applyNumberForma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4" fillId="9" fontId="13" numFmtId="2" xfId="0" applyAlignment="1" applyBorder="1" applyFont="1" applyNumberFormat="1">
      <alignment horizontal="center" shrinkToFit="0" vertical="center" wrapText="1"/>
    </xf>
    <xf borderId="0" fillId="0" fontId="20" numFmtId="0" xfId="0" applyAlignment="1" applyFont="1">
      <alignment horizontal="left" shrinkToFit="0" vertical="center" wrapText="1"/>
    </xf>
    <xf borderId="4" fillId="11" fontId="13" numFmtId="164" xfId="0" applyAlignment="1" applyBorder="1" applyFill="1" applyFont="1" applyNumberFormat="1">
      <alignment horizontal="center" shrinkToFit="0" vertical="center" wrapText="0"/>
    </xf>
    <xf borderId="4" fillId="11" fontId="13" numFmtId="166" xfId="0" applyAlignment="1" applyBorder="1" applyFont="1" applyNumberFormat="1">
      <alignment horizontal="center" shrinkToFit="0" vertical="center" wrapText="0"/>
    </xf>
    <xf borderId="5" fillId="6" fontId="21" numFmtId="0" xfId="0" applyAlignment="1" applyBorder="1" applyFont="1">
      <alignment horizontal="left" shrinkToFit="0" vertical="center" wrapText="1"/>
    </xf>
    <xf borderId="5" fillId="0" fontId="22" numFmtId="0" xfId="0" applyAlignment="1" applyBorder="1" applyFont="1">
      <alignment horizontal="left" shrinkToFit="0" vertical="center" wrapText="1"/>
    </xf>
    <xf borderId="1" fillId="2" fontId="23" numFmtId="0" xfId="0" applyAlignment="1" applyBorder="1" applyFont="1">
      <alignment horizontal="center" shrinkToFit="0" vertical="center" wrapText="1"/>
    </xf>
    <xf borderId="4" fillId="5" fontId="21" numFmtId="0" xfId="0" applyAlignment="1" applyBorder="1" applyFont="1">
      <alignment horizontal="left" shrinkToFit="0" vertical="center" wrapText="1"/>
    </xf>
    <xf borderId="4" fillId="5" fontId="1" numFmtId="0" xfId="0" applyAlignment="1" applyBorder="1" applyFont="1">
      <alignment shrinkToFit="0" vertical="bottom" wrapText="0"/>
    </xf>
    <xf borderId="4" fillId="0" fontId="22" numFmtId="0" xfId="0" applyAlignment="1" applyBorder="1" applyFont="1">
      <alignment horizontal="left" shrinkToFit="0" vertical="center" wrapText="1"/>
    </xf>
    <xf borderId="4" fillId="0" fontId="12" numFmtId="168" xfId="0" applyAlignment="1" applyBorder="1" applyFont="1" applyNumberFormat="1">
      <alignment horizontal="center" shrinkToFit="0" vertical="center" wrapText="1"/>
    </xf>
    <xf borderId="4" fillId="3" fontId="9" numFmtId="0" xfId="0" applyAlignment="1" applyBorder="1" applyFont="1">
      <alignment shrinkToFit="0" vertical="bottom" wrapText="0"/>
    </xf>
    <xf borderId="4" fillId="3" fontId="9" numFmtId="0" xfId="0" applyAlignment="1" applyBorder="1" applyFont="1">
      <alignment horizontal="center" shrinkToFit="0" vertical="center" wrapText="1"/>
    </xf>
    <xf borderId="4" fillId="0" fontId="7" numFmtId="165" xfId="0" applyAlignment="1" applyBorder="1" applyFont="1" applyNumberFormat="1">
      <alignment horizontal="center" shrinkToFit="0" vertical="center" wrapText="1"/>
    </xf>
    <xf borderId="4" fillId="10" fontId="7" numFmtId="0" xfId="0" applyAlignment="1" applyBorder="1" applyFont="1">
      <alignment horizontal="left" shrinkToFit="0" vertical="center" wrapText="1"/>
    </xf>
    <xf borderId="4" fillId="10" fontId="7" numFmtId="165" xfId="0" applyAlignment="1" applyBorder="1" applyFont="1" applyNumberFormat="1">
      <alignment horizontal="center" shrinkToFit="0" vertical="center" wrapText="1"/>
    </xf>
    <xf borderId="4" fillId="11" fontId="7" numFmtId="0" xfId="0" applyAlignment="1" applyBorder="1" applyFont="1">
      <alignment horizontal="left" shrinkToFit="0" vertical="center" wrapText="1"/>
    </xf>
    <xf borderId="4" fillId="11" fontId="7" numFmtId="165" xfId="0" applyAlignment="1" applyBorder="1" applyFont="1" applyNumberFormat="1">
      <alignment horizontal="center" shrinkToFit="0" vertical="center" wrapText="1"/>
    </xf>
    <xf borderId="4" fillId="0" fontId="8" numFmtId="10" xfId="0" applyAlignment="1" applyBorder="1" applyFont="1" applyNumberFormat="1">
      <alignment horizontal="center" shrinkToFit="0" vertical="center" wrapText="1"/>
    </xf>
    <xf borderId="4" fillId="0" fontId="8" numFmtId="2" xfId="0" applyAlignment="1" applyBorder="1" applyFont="1" applyNumberFormat="1">
      <alignment horizontal="center" shrinkToFit="0" vertical="center" wrapText="1"/>
    </xf>
    <xf borderId="4" fillId="5" fontId="9" numFmtId="166" xfId="0" applyAlignment="1" applyBorder="1" applyFont="1" applyNumberFormat="1">
      <alignment horizontal="center" shrinkToFit="0" vertical="center" wrapText="1"/>
    </xf>
    <xf borderId="4" fillId="5" fontId="9" numFmtId="10" xfId="0" applyAlignment="1" applyBorder="1" applyFont="1" applyNumberFormat="1">
      <alignment horizontal="center" shrinkToFit="0" vertical="center" wrapText="1"/>
    </xf>
    <xf borderId="4" fillId="0" fontId="12" numFmtId="2" xfId="0" applyAlignment="1" applyBorder="1" applyFont="1" applyNumberFormat="1">
      <alignment horizontal="center" shrinkToFit="0" vertical="center" wrapText="1"/>
    </xf>
    <xf borderId="4" fillId="12" fontId="12" numFmtId="10" xfId="0" applyAlignment="1" applyBorder="1" applyFill="1" applyFont="1" applyNumberFormat="1">
      <alignment horizontal="center" shrinkToFit="0" vertical="center" wrapText="1"/>
    </xf>
    <xf borderId="4" fillId="11" fontId="7" numFmtId="10" xfId="0" applyAlignment="1" applyBorder="1" applyFont="1" applyNumberFormat="1">
      <alignment horizontal="center" shrinkToFit="0" vertical="center" wrapText="1"/>
    </xf>
    <xf borderId="4" fillId="12" fontId="7" numFmtId="166" xfId="0" applyAlignment="1" applyBorder="1" applyFont="1" applyNumberFormat="1">
      <alignment horizontal="center" shrinkToFit="0" vertical="center" wrapText="1"/>
    </xf>
    <xf borderId="4" fillId="0" fontId="7" numFmtId="166" xfId="0" applyAlignment="1" applyBorder="1" applyFont="1" applyNumberFormat="1">
      <alignment horizontal="center" shrinkToFit="0" vertical="center" wrapText="1"/>
    </xf>
    <xf borderId="4" fillId="3" fontId="9" numFmtId="165" xfId="0" applyAlignment="1" applyBorder="1" applyFont="1" applyNumberFormat="1">
      <alignment horizontal="center" shrinkToFit="0" vertical="center" wrapText="1"/>
    </xf>
    <xf borderId="4" fillId="3" fontId="9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center" shrinkToFit="0" vertical="center" wrapText="1"/>
    </xf>
    <xf borderId="0" fillId="0" fontId="12" numFmtId="165" xfId="0" applyAlignment="1" applyFont="1" applyNumberFormat="1">
      <alignment horizontal="center" shrinkToFit="0" vertical="center" wrapText="1"/>
    </xf>
    <xf borderId="4" fillId="10" fontId="7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0" fillId="0" fontId="12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165" xfId="0" applyAlignment="1" applyFont="1" applyNumberFormat="1">
      <alignment horizontal="center" shrinkToFit="0" vertical="center" wrapText="1"/>
    </xf>
    <xf borderId="0" fillId="0" fontId="8" numFmtId="165" xfId="0" applyAlignment="1" applyFont="1" applyNumberFormat="1">
      <alignment horizontal="center" shrinkToFit="0" vertical="center" wrapText="1"/>
    </xf>
    <xf borderId="0" fillId="0" fontId="7" numFmtId="164" xfId="0" applyAlignment="1" applyFont="1" applyNumberFormat="1">
      <alignment horizontal="center" shrinkToFit="0" vertical="center" wrapText="1"/>
    </xf>
    <xf borderId="4" fillId="11" fontId="12" numFmtId="165" xfId="0" applyAlignment="1" applyBorder="1" applyFont="1" applyNumberFormat="1">
      <alignment horizontal="center" shrinkToFit="0" vertical="center" wrapText="1"/>
    </xf>
    <xf borderId="4" fillId="10" fontId="5" numFmtId="0" xfId="0" applyAlignment="1" applyBorder="1" applyFont="1">
      <alignment horizontal="left" shrinkToFit="0" vertical="center" wrapText="1"/>
    </xf>
    <xf borderId="4" fillId="10" fontId="5" numFmtId="165" xfId="0" applyAlignment="1" applyBorder="1" applyFont="1" applyNumberFormat="1">
      <alignment horizontal="center" shrinkToFit="0" vertical="center" wrapText="1"/>
    </xf>
    <xf borderId="4" fillId="0" fontId="7" numFmtId="164" xfId="0" applyAlignment="1" applyBorder="1" applyFont="1" applyNumberFormat="1">
      <alignment horizontal="center" shrinkToFit="0" vertical="center" wrapText="1"/>
    </xf>
    <xf borderId="4" fillId="12" fontId="8" numFmtId="164" xfId="0" applyAlignment="1" applyBorder="1" applyFont="1" applyNumberFormat="1">
      <alignment horizontal="center" shrinkToFit="0" vertical="center" wrapText="1"/>
    </xf>
    <xf borderId="4" fillId="11" fontId="7" numFmtId="166" xfId="0" applyAlignment="1" applyBorder="1" applyFont="1" applyNumberFormat="1">
      <alignment horizontal="center" shrinkToFit="0" vertical="center" wrapText="1"/>
    </xf>
    <xf borderId="4" fillId="11" fontId="7" numFmtId="164" xfId="0" applyAlignment="1" applyBorder="1" applyFont="1" applyNumberFormat="1">
      <alignment horizontal="center" shrinkToFit="0" vertical="center" wrapText="1"/>
    </xf>
    <xf borderId="4" fillId="0" fontId="13" numFmtId="169" xfId="0" applyAlignment="1" applyBorder="1" applyFont="1" applyNumberForma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169" xfId="0" applyAlignment="1" applyBorder="1" applyFont="1" applyNumberFormat="1">
      <alignment horizontal="center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8" fillId="0" fontId="3" numFmtId="0" xfId="0" applyBorder="1" applyFont="1"/>
    <xf borderId="4" fillId="0" fontId="8" numFmtId="170" xfId="0" applyAlignment="1" applyBorder="1" applyFont="1" applyNumberFormat="1">
      <alignment horizontal="center" shrinkToFit="0" vertical="center" wrapText="1"/>
    </xf>
    <xf borderId="4" fillId="0" fontId="12" numFmtId="169" xfId="0" applyAlignment="1" applyBorder="1" applyFont="1" applyNumberFormat="1">
      <alignment horizontal="center" shrinkToFit="0" vertical="center" wrapText="1"/>
    </xf>
    <xf borderId="5" fillId="0" fontId="4" numFmtId="0" xfId="0" applyAlignment="1" applyBorder="1" applyFont="1">
      <alignment horizontal="left" shrinkToFit="0" vertical="center" wrapText="1"/>
    </xf>
    <xf borderId="4" fillId="10" fontId="1" numFmtId="0" xfId="0" applyAlignment="1" applyBorder="1" applyFont="1">
      <alignment shrinkToFit="0" vertical="bottom" wrapText="0"/>
    </xf>
    <xf borderId="4" fillId="10" fontId="5" numFmtId="164" xfId="0" applyAlignment="1" applyBorder="1" applyFont="1" applyNumberFormat="1">
      <alignment horizontal="center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4" fillId="12" fontId="7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2.0"/>
    <col customWidth="1" min="3" max="3" width="17.0"/>
    <col customWidth="1" min="4" max="4" width="54.0"/>
    <col customWidth="1" min="5" max="26" width="8.71"/>
  </cols>
  <sheetData>
    <row r="1">
      <c r="A1" s="1"/>
      <c r="B1" s="1"/>
      <c r="C1" s="1"/>
      <c r="D1" s="1"/>
    </row>
    <row r="2" ht="27.75" customHeight="1">
      <c r="A2" s="1"/>
      <c r="B2" s="2" t="s">
        <v>0</v>
      </c>
      <c r="C2" s="3"/>
      <c r="D2" s="4"/>
    </row>
    <row r="3" ht="15.0" customHeight="1">
      <c r="A3" s="1"/>
      <c r="B3" s="5" t="s">
        <v>1</v>
      </c>
    </row>
    <row r="4">
      <c r="A4" s="1"/>
      <c r="B4" s="1"/>
      <c r="C4" s="1"/>
      <c r="D4" s="1"/>
    </row>
    <row r="5" ht="15.0" customHeight="1">
      <c r="A5" s="1"/>
      <c r="B5" s="6" t="s">
        <v>3</v>
      </c>
      <c r="C5" s="8"/>
      <c r="D5" s="8"/>
    </row>
    <row r="6" ht="15.0" customHeight="1">
      <c r="A6" s="1"/>
      <c r="B6" s="9" t="s">
        <v>5</v>
      </c>
      <c r="C6" s="10">
        <f>DATOS!I55</f>
        <v>10</v>
      </c>
      <c r="D6" s="12" t="s">
        <v>11</v>
      </c>
    </row>
    <row r="7" ht="15.0" customHeight="1">
      <c r="A7" s="1"/>
      <c r="B7" s="9" t="s">
        <v>12</v>
      </c>
      <c r="C7" s="18">
        <f>DATOS!I55*DATOS!I28</f>
        <v>241</v>
      </c>
      <c r="D7" s="12" t="s">
        <v>20</v>
      </c>
    </row>
    <row r="8" ht="15.0" customHeight="1">
      <c r="A8" s="1"/>
      <c r="B8" s="9" t="s">
        <v>22</v>
      </c>
      <c r="C8" s="18">
        <f>DATOS!I11</f>
        <v>22.53</v>
      </c>
      <c r="D8" s="12" t="s">
        <v>36</v>
      </c>
    </row>
    <row r="9" ht="15.0" customHeight="1">
      <c r="A9" s="1"/>
      <c r="B9" s="9" t="s">
        <v>37</v>
      </c>
      <c r="C9" s="18">
        <f>DATOS!I25</f>
        <v>8.62</v>
      </c>
      <c r="D9" s="12" t="s">
        <v>41</v>
      </c>
    </row>
    <row r="10" ht="15.0" customHeight="1">
      <c r="A10" s="1"/>
      <c r="B10" s="9" t="s">
        <v>44</v>
      </c>
      <c r="C10" s="24">
        <f>DATOS!I19/DATOS!I11</f>
        <v>0.3000443853</v>
      </c>
      <c r="D10" s="12" t="s">
        <v>52</v>
      </c>
    </row>
    <row r="11" ht="15.0" customHeight="1">
      <c r="A11" s="1"/>
      <c r="B11" s="9" t="s">
        <v>54</v>
      </c>
      <c r="C11" s="18">
        <f>DATOS!G47</f>
        <v>151.58</v>
      </c>
      <c r="D11" s="12" t="s">
        <v>55</v>
      </c>
    </row>
    <row r="12" ht="15.0" customHeight="1">
      <c r="A12" s="1"/>
      <c r="B12" s="9" t="s">
        <v>56</v>
      </c>
      <c r="C12" s="18">
        <f>DATOS!G38</f>
        <v>59.06</v>
      </c>
      <c r="D12" s="12" t="s">
        <v>57</v>
      </c>
    </row>
    <row r="13" ht="15.0" customHeight="1">
      <c r="A13" s="1"/>
      <c r="B13" s="9" t="s">
        <v>58</v>
      </c>
      <c r="C13" s="18">
        <f>DATOS!G35</f>
        <v>72.27</v>
      </c>
      <c r="D13" s="12" t="s">
        <v>61</v>
      </c>
    </row>
    <row r="14" ht="15.0" customHeight="1">
      <c r="A14" s="1"/>
      <c r="B14" s="9" t="s">
        <v>63</v>
      </c>
      <c r="C14" s="24">
        <f>DATOS!I60/DATOS!I59</f>
        <v>0.0303</v>
      </c>
      <c r="D14" s="12" t="s">
        <v>64</v>
      </c>
    </row>
    <row r="15">
      <c r="A15" s="1"/>
      <c r="B15" s="1"/>
      <c r="C15" s="1"/>
      <c r="D15" s="1"/>
    </row>
    <row r="16" ht="15.0" customHeight="1">
      <c r="A16" s="1"/>
      <c r="B16" s="6" t="s">
        <v>65</v>
      </c>
      <c r="C16" s="8"/>
      <c r="D16" s="8"/>
    </row>
    <row r="17" ht="31.5" customHeight="1">
      <c r="A17" s="1"/>
      <c r="B17" s="9" t="s">
        <v>66</v>
      </c>
      <c r="C17" s="30" t="s">
        <v>68</v>
      </c>
      <c r="D17" s="32" t="s">
        <v>69</v>
      </c>
    </row>
    <row r="18" ht="31.5" customHeight="1">
      <c r="A18" s="1"/>
      <c r="B18" s="9" t="s">
        <v>71</v>
      </c>
      <c r="C18" s="30" t="s">
        <v>72</v>
      </c>
      <c r="D18" s="32" t="s">
        <v>74</v>
      </c>
    </row>
    <row r="19" ht="31.5" customHeight="1">
      <c r="A19" s="1"/>
      <c r="B19" s="9" t="s">
        <v>76</v>
      </c>
      <c r="C19" s="30" t="s">
        <v>77</v>
      </c>
      <c r="D19" s="32" t="s">
        <v>78</v>
      </c>
    </row>
    <row r="20" ht="31.5" customHeight="1">
      <c r="A20" s="1"/>
      <c r="B20" s="9" t="s">
        <v>80</v>
      </c>
      <c r="C20" s="30" t="s">
        <v>81</v>
      </c>
      <c r="D20" s="32" t="s">
        <v>83</v>
      </c>
    </row>
    <row r="21" ht="31.5" customHeight="1">
      <c r="A21" s="1"/>
      <c r="B21" s="9" t="s">
        <v>84</v>
      </c>
      <c r="C21" s="30" t="s">
        <v>85</v>
      </c>
      <c r="D21" s="32" t="s">
        <v>86</v>
      </c>
    </row>
    <row r="22" ht="31.5" customHeight="1">
      <c r="A22" s="1"/>
      <c r="B22" s="9" t="s">
        <v>88</v>
      </c>
      <c r="C22" s="30" t="s">
        <v>89</v>
      </c>
      <c r="D22" s="32" t="s">
        <v>90</v>
      </c>
    </row>
    <row r="23" ht="15.75" customHeight="1">
      <c r="A23" s="1"/>
      <c r="B23" s="1"/>
      <c r="C23" s="1"/>
      <c r="D23" s="1"/>
    </row>
    <row r="24" ht="15.0" customHeight="1">
      <c r="A24" s="1"/>
      <c r="B24" s="6" t="s">
        <v>93</v>
      </c>
      <c r="C24" s="8"/>
      <c r="D24" s="8"/>
    </row>
    <row r="25" ht="30.0" customHeight="1">
      <c r="A25" s="1"/>
      <c r="B25" s="33" t="s">
        <v>95</v>
      </c>
      <c r="C25" s="35" t="s">
        <v>96</v>
      </c>
      <c r="D25" s="32" t="s">
        <v>99</v>
      </c>
    </row>
    <row r="26" ht="30.0" customHeight="1">
      <c r="A26" s="1"/>
      <c r="B26" s="33" t="s">
        <v>101</v>
      </c>
      <c r="C26" s="35" t="s">
        <v>103</v>
      </c>
      <c r="D26" s="32" t="s">
        <v>104</v>
      </c>
    </row>
    <row r="27" ht="30.0" customHeight="1">
      <c r="A27" s="1"/>
      <c r="B27" s="33" t="s">
        <v>105</v>
      </c>
      <c r="C27" s="35" t="s">
        <v>109</v>
      </c>
      <c r="D27" s="32" t="s">
        <v>110</v>
      </c>
    </row>
    <row r="28" ht="30.0" customHeight="1">
      <c r="A28" s="1"/>
      <c r="B28" s="33" t="s">
        <v>112</v>
      </c>
      <c r="C28" s="35" t="s">
        <v>114</v>
      </c>
      <c r="D28" s="32" t="s">
        <v>115</v>
      </c>
    </row>
    <row r="29" ht="15.75" customHeight="1">
      <c r="A29" s="1"/>
      <c r="B29" s="1"/>
      <c r="C29" s="1"/>
      <c r="D29" s="1"/>
    </row>
    <row r="30" ht="18.75" customHeight="1">
      <c r="A30" s="1"/>
      <c r="B30" s="37" t="s">
        <v>119</v>
      </c>
    </row>
    <row r="31" ht="15.0" customHeight="1">
      <c r="A31" s="1"/>
      <c r="B31" s="38" t="s">
        <v>123</v>
      </c>
    </row>
    <row r="32" ht="15.75" customHeight="1">
      <c r="A32" s="1"/>
      <c r="B32" s="1"/>
      <c r="C32" s="1"/>
      <c r="D32" s="1"/>
    </row>
    <row r="33" ht="15.75" customHeight="1">
      <c r="A33" s="1"/>
      <c r="B33" s="1"/>
      <c r="C33" s="1"/>
      <c r="D33" s="1"/>
    </row>
    <row r="34" ht="15.75" customHeight="1">
      <c r="A34" s="1"/>
      <c r="B34" s="1"/>
      <c r="C34" s="1"/>
      <c r="D34" s="1"/>
    </row>
    <row r="35" ht="15.75" customHeight="1">
      <c r="A35" s="1"/>
      <c r="B35" s="1"/>
      <c r="C35" s="1"/>
      <c r="D35" s="1"/>
    </row>
    <row r="36" ht="15.75" customHeight="1">
      <c r="A36" s="1"/>
      <c r="B36" s="1"/>
      <c r="C36" s="1"/>
      <c r="D36" s="1"/>
    </row>
    <row r="37" ht="15.75" customHeight="1">
      <c r="A37" s="1"/>
      <c r="B37" s="1"/>
      <c r="C37" s="1"/>
      <c r="D37" s="1"/>
    </row>
    <row r="38" ht="15.75" customHeight="1">
      <c r="A38" s="1"/>
      <c r="B38" s="1"/>
      <c r="C38" s="1"/>
      <c r="D38" s="1"/>
    </row>
    <row r="39" ht="15.75" customHeight="1">
      <c r="A39" s="1"/>
      <c r="B39" s="1"/>
      <c r="C39" s="1"/>
      <c r="D39" s="1"/>
    </row>
    <row r="40" ht="15.75" customHeight="1">
      <c r="A40" s="1"/>
      <c r="B40" s="1"/>
      <c r="C40" s="1"/>
      <c r="D40" s="1"/>
    </row>
    <row r="41" ht="15.75" customHeight="1">
      <c r="A41" s="1"/>
      <c r="B41" s="1"/>
      <c r="C41" s="1"/>
      <c r="D41" s="1"/>
    </row>
    <row r="42" ht="15.75" customHeight="1">
      <c r="A42" s="1"/>
      <c r="B42" s="1"/>
      <c r="C42" s="1"/>
      <c r="D42" s="1"/>
    </row>
    <row r="43" ht="15.75" customHeight="1">
      <c r="A43" s="1"/>
      <c r="B43" s="1"/>
      <c r="C43" s="1"/>
      <c r="D43" s="1"/>
    </row>
    <row r="44" ht="15.75" customHeight="1">
      <c r="A44" s="1"/>
      <c r="B44" s="1"/>
      <c r="C44" s="1"/>
      <c r="D44" s="1"/>
    </row>
    <row r="45" ht="15.75" customHeight="1">
      <c r="A45" s="1"/>
      <c r="B45" s="1"/>
      <c r="C45" s="1"/>
      <c r="D45" s="1"/>
    </row>
    <row r="46" ht="15.75" customHeight="1">
      <c r="A46" s="1"/>
      <c r="B46" s="1"/>
      <c r="C46" s="1"/>
      <c r="D46" s="1"/>
    </row>
    <row r="47" ht="15.75" customHeight="1">
      <c r="A47" s="1"/>
      <c r="B47" s="1"/>
      <c r="C47" s="1"/>
      <c r="D47" s="1"/>
    </row>
    <row r="48" ht="15.75" customHeight="1">
      <c r="A48" s="1"/>
      <c r="B48" s="1"/>
      <c r="C48" s="1"/>
      <c r="D48" s="1"/>
    </row>
    <row r="49" ht="15.75" customHeight="1">
      <c r="A49" s="1"/>
      <c r="B49" s="1"/>
      <c r="C49" s="1"/>
      <c r="D49" s="1"/>
    </row>
    <row r="50" ht="15.75" customHeight="1">
      <c r="A50" s="1"/>
      <c r="B50" s="1"/>
      <c r="C50" s="1"/>
      <c r="D50" s="1"/>
    </row>
    <row r="51" ht="15.75" customHeight="1">
      <c r="A51" s="1"/>
      <c r="B51" s="1"/>
      <c r="C51" s="1"/>
      <c r="D51" s="1"/>
    </row>
    <row r="52" ht="15.75" customHeight="1">
      <c r="A52" s="1"/>
      <c r="B52" s="1"/>
      <c r="C52" s="1"/>
      <c r="D52" s="1"/>
    </row>
    <row r="53" ht="15.75" customHeight="1">
      <c r="A53" s="1"/>
      <c r="B53" s="1"/>
      <c r="C53" s="1"/>
      <c r="D53" s="1"/>
    </row>
    <row r="54" ht="15.75" customHeight="1">
      <c r="A54" s="1"/>
      <c r="B54" s="1"/>
      <c r="C54" s="1"/>
      <c r="D54" s="1"/>
    </row>
    <row r="55" ht="15.75" customHeight="1">
      <c r="A55" s="1"/>
      <c r="B55" s="1"/>
      <c r="C55" s="1"/>
      <c r="D55" s="1"/>
    </row>
    <row r="56" ht="15.75" customHeight="1">
      <c r="A56" s="1"/>
      <c r="B56" s="1"/>
      <c r="C56" s="1"/>
      <c r="D56" s="1"/>
    </row>
    <row r="57" ht="15.75" customHeight="1">
      <c r="A57" s="1"/>
      <c r="B57" s="1"/>
      <c r="C57" s="1"/>
      <c r="D57" s="1"/>
    </row>
    <row r="58" ht="15.75" customHeight="1">
      <c r="A58" s="1"/>
      <c r="B58" s="1"/>
      <c r="C58" s="1"/>
      <c r="D58" s="1"/>
    </row>
    <row r="59" ht="15.75" customHeight="1">
      <c r="A59" s="1"/>
      <c r="B59" s="1"/>
      <c r="C59" s="1"/>
      <c r="D59" s="1"/>
    </row>
    <row r="60" ht="15.75" customHeight="1">
      <c r="A60" s="1"/>
      <c r="B60" s="1"/>
      <c r="C60" s="1"/>
      <c r="D60" s="1"/>
    </row>
    <row r="61" ht="15.75" customHeight="1">
      <c r="A61" s="1"/>
      <c r="B61" s="1"/>
      <c r="C61" s="1"/>
      <c r="D61" s="1"/>
    </row>
    <row r="62" ht="15.75" customHeight="1">
      <c r="A62" s="1"/>
      <c r="B62" s="1"/>
      <c r="C62" s="1"/>
      <c r="D62" s="1"/>
    </row>
    <row r="63" ht="15.75" customHeight="1">
      <c r="A63" s="1"/>
      <c r="B63" s="1"/>
      <c r="C63" s="1"/>
      <c r="D63" s="1"/>
    </row>
    <row r="64" ht="15.75" customHeight="1">
      <c r="A64" s="1"/>
      <c r="B64" s="1"/>
      <c r="C64" s="1"/>
      <c r="D64" s="1"/>
    </row>
    <row r="65" ht="15.75" customHeight="1">
      <c r="A65" s="1"/>
      <c r="B65" s="1"/>
      <c r="C65" s="1"/>
      <c r="D65" s="1"/>
    </row>
    <row r="66" ht="15.75" customHeight="1">
      <c r="A66" s="1"/>
      <c r="B66" s="1"/>
      <c r="C66" s="1"/>
      <c r="D66" s="1"/>
    </row>
    <row r="67" ht="15.75" customHeight="1">
      <c r="A67" s="1"/>
      <c r="B67" s="1"/>
      <c r="C67" s="1"/>
      <c r="D67" s="1"/>
    </row>
    <row r="68" ht="15.75" customHeight="1">
      <c r="A68" s="1"/>
      <c r="B68" s="1"/>
      <c r="C68" s="1"/>
      <c r="D68" s="1"/>
    </row>
    <row r="69" ht="15.75" customHeight="1">
      <c r="A69" s="1"/>
      <c r="B69" s="1"/>
      <c r="C69" s="1"/>
      <c r="D69" s="1"/>
    </row>
    <row r="70" ht="15.75" customHeight="1">
      <c r="A70" s="1"/>
      <c r="B70" s="1"/>
      <c r="C70" s="1"/>
      <c r="D70" s="1"/>
    </row>
    <row r="71" ht="15.75" customHeight="1">
      <c r="A71" s="1"/>
      <c r="B71" s="1"/>
      <c r="C71" s="1"/>
      <c r="D71" s="1"/>
    </row>
    <row r="72" ht="15.75" customHeight="1">
      <c r="A72" s="1"/>
      <c r="B72" s="1"/>
      <c r="C72" s="1"/>
      <c r="D72" s="1"/>
    </row>
    <row r="73" ht="15.75" customHeight="1">
      <c r="A73" s="1"/>
      <c r="B73" s="1"/>
      <c r="C73" s="1"/>
      <c r="D73" s="1"/>
    </row>
    <row r="74" ht="15.75" customHeight="1">
      <c r="A74" s="1"/>
      <c r="B74" s="1"/>
      <c r="C74" s="1"/>
      <c r="D74" s="1"/>
    </row>
    <row r="75" ht="15.75" customHeight="1">
      <c r="A75" s="1"/>
      <c r="B75" s="1"/>
      <c r="C75" s="1"/>
      <c r="D75" s="1"/>
    </row>
    <row r="76" ht="15.75" customHeight="1">
      <c r="A76" s="1"/>
      <c r="B76" s="1"/>
      <c r="C76" s="1"/>
      <c r="D76" s="1"/>
    </row>
    <row r="77" ht="15.75" customHeight="1">
      <c r="A77" s="1"/>
      <c r="B77" s="1"/>
      <c r="C77" s="1"/>
      <c r="D77" s="1"/>
    </row>
    <row r="78" ht="15.75" customHeight="1">
      <c r="A78" s="1"/>
      <c r="B78" s="1"/>
      <c r="C78" s="1"/>
      <c r="D78" s="1"/>
    </row>
    <row r="79" ht="15.75" customHeight="1">
      <c r="A79" s="1"/>
      <c r="B79" s="1"/>
      <c r="C79" s="1"/>
      <c r="D79" s="1"/>
    </row>
    <row r="80" ht="15.75" customHeight="1">
      <c r="A80" s="1"/>
      <c r="B80" s="1"/>
      <c r="C80" s="1"/>
      <c r="D80" s="1"/>
    </row>
    <row r="81" ht="15.75" customHeight="1">
      <c r="A81" s="1"/>
      <c r="B81" s="1"/>
      <c r="C81" s="1"/>
      <c r="D81" s="1"/>
    </row>
    <row r="82" ht="15.75" customHeight="1">
      <c r="A82" s="1"/>
      <c r="B82" s="1"/>
      <c r="C82" s="1"/>
      <c r="D82" s="1"/>
    </row>
    <row r="83" ht="15.75" customHeight="1">
      <c r="A83" s="1"/>
      <c r="B83" s="1"/>
      <c r="C83" s="1"/>
      <c r="D83" s="1"/>
    </row>
    <row r="84" ht="15.75" customHeight="1">
      <c r="A84" s="1"/>
      <c r="B84" s="1"/>
      <c r="C84" s="1"/>
      <c r="D84" s="1"/>
    </row>
    <row r="85" ht="15.75" customHeight="1">
      <c r="A85" s="1"/>
      <c r="B85" s="1"/>
      <c r="C85" s="1"/>
      <c r="D85" s="1"/>
    </row>
    <row r="86" ht="15.75" customHeight="1">
      <c r="A86" s="1"/>
      <c r="B86" s="1"/>
      <c r="C86" s="1"/>
      <c r="D86" s="1"/>
    </row>
    <row r="87" ht="15.75" customHeight="1">
      <c r="A87" s="1"/>
      <c r="B87" s="1"/>
      <c r="C87" s="1"/>
      <c r="D87" s="1"/>
    </row>
    <row r="88" ht="15.75" customHeight="1">
      <c r="A88" s="1"/>
      <c r="B88" s="1"/>
      <c r="C88" s="1"/>
      <c r="D88" s="1"/>
    </row>
    <row r="89" ht="15.75" customHeight="1">
      <c r="A89" s="1"/>
      <c r="B89" s="1"/>
      <c r="C89" s="1"/>
      <c r="D89" s="1"/>
    </row>
    <row r="90" ht="15.75" customHeight="1">
      <c r="A90" s="1"/>
      <c r="B90" s="1"/>
      <c r="C90" s="1"/>
      <c r="D90" s="1"/>
    </row>
    <row r="91" ht="15.75" customHeight="1">
      <c r="A91" s="1"/>
      <c r="B91" s="1"/>
      <c r="C91" s="1"/>
      <c r="D91" s="1"/>
    </row>
    <row r="92" ht="15.75" customHeight="1">
      <c r="A92" s="1"/>
      <c r="B92" s="1"/>
      <c r="C92" s="1"/>
      <c r="D92" s="1"/>
    </row>
    <row r="93" ht="15.75" customHeight="1">
      <c r="A93" s="1"/>
      <c r="B93" s="1"/>
      <c r="C93" s="1"/>
      <c r="D93" s="1"/>
    </row>
    <row r="94" ht="15.75" customHeight="1">
      <c r="A94" s="1"/>
      <c r="B94" s="1"/>
      <c r="C94" s="1"/>
      <c r="D94" s="1"/>
    </row>
    <row r="95" ht="15.75" customHeight="1">
      <c r="A95" s="1"/>
      <c r="B95" s="1"/>
      <c r="C95" s="1"/>
      <c r="D95" s="1"/>
    </row>
    <row r="96" ht="15.75" customHeight="1">
      <c r="A96" s="1"/>
      <c r="B96" s="1"/>
      <c r="C96" s="1"/>
      <c r="D96" s="1"/>
    </row>
    <row r="97" ht="15.75" customHeight="1">
      <c r="A97" s="1"/>
      <c r="B97" s="1"/>
      <c r="C97" s="1"/>
      <c r="D97" s="1"/>
    </row>
    <row r="98" ht="15.75" customHeight="1">
      <c r="A98" s="1"/>
      <c r="B98" s="1"/>
      <c r="C98" s="1"/>
      <c r="D98" s="1"/>
    </row>
    <row r="99" ht="15.75" customHeight="1">
      <c r="A99" s="1"/>
      <c r="B99" s="1"/>
      <c r="C99" s="1"/>
      <c r="D99" s="1"/>
    </row>
    <row r="100" ht="15.75" customHeight="1">
      <c r="A100" s="1"/>
      <c r="B100" s="1"/>
      <c r="C100" s="1"/>
      <c r="D100" s="1"/>
    </row>
    <row r="101" ht="15.75" customHeight="1">
      <c r="A101" s="1"/>
      <c r="B101" s="1"/>
      <c r="C101" s="1"/>
      <c r="D101" s="1"/>
    </row>
    <row r="102" ht="15.75" customHeight="1">
      <c r="A102" s="1"/>
      <c r="B102" s="1"/>
      <c r="C102" s="1"/>
      <c r="D102" s="1"/>
    </row>
    <row r="103" ht="15.75" customHeight="1">
      <c r="A103" s="1"/>
      <c r="B103" s="1"/>
      <c r="C103" s="1"/>
      <c r="D103" s="1"/>
    </row>
    <row r="104" ht="15.75" customHeight="1">
      <c r="A104" s="1"/>
      <c r="B104" s="1"/>
      <c r="C104" s="1"/>
      <c r="D104" s="1"/>
    </row>
    <row r="105" ht="15.75" customHeight="1">
      <c r="A105" s="1"/>
      <c r="B105" s="1"/>
      <c r="C105" s="1"/>
      <c r="D105" s="1"/>
    </row>
    <row r="106" ht="15.75" customHeight="1">
      <c r="A106" s="1"/>
      <c r="B106" s="1"/>
      <c r="C106" s="1"/>
      <c r="D106" s="1"/>
    </row>
    <row r="107" ht="15.75" customHeight="1">
      <c r="A107" s="1"/>
      <c r="B107" s="1"/>
      <c r="C107" s="1"/>
      <c r="D107" s="1"/>
    </row>
    <row r="108" ht="15.75" customHeight="1">
      <c r="A108" s="1"/>
      <c r="B108" s="1"/>
      <c r="C108" s="1"/>
      <c r="D108" s="1"/>
    </row>
    <row r="109" ht="15.75" customHeight="1">
      <c r="A109" s="1"/>
      <c r="B109" s="1"/>
      <c r="C109" s="1"/>
      <c r="D109" s="1"/>
    </row>
    <row r="110" ht="15.75" customHeight="1">
      <c r="A110" s="1"/>
      <c r="B110" s="1"/>
      <c r="C110" s="1"/>
      <c r="D110" s="1"/>
    </row>
    <row r="111" ht="15.75" customHeight="1">
      <c r="A111" s="1"/>
      <c r="B111" s="1"/>
      <c r="C111" s="1"/>
      <c r="D111" s="1"/>
    </row>
    <row r="112" ht="15.75" customHeight="1">
      <c r="A112" s="1"/>
      <c r="B112" s="1"/>
      <c r="C112" s="1"/>
      <c r="D112" s="1"/>
    </row>
    <row r="113" ht="15.75" customHeight="1">
      <c r="A113" s="1"/>
      <c r="B113" s="1"/>
      <c r="C113" s="1"/>
      <c r="D113" s="1"/>
    </row>
    <row r="114" ht="15.75" customHeight="1">
      <c r="A114" s="1"/>
      <c r="B114" s="1"/>
      <c r="C114" s="1"/>
      <c r="D114" s="1"/>
    </row>
    <row r="115" ht="15.75" customHeight="1">
      <c r="A115" s="1"/>
      <c r="B115" s="1"/>
      <c r="C115" s="1"/>
      <c r="D115" s="1"/>
    </row>
    <row r="116" ht="15.75" customHeight="1">
      <c r="A116" s="1"/>
      <c r="B116" s="1"/>
      <c r="C116" s="1"/>
      <c r="D116" s="1"/>
    </row>
    <row r="117" ht="15.75" customHeight="1">
      <c r="A117" s="1"/>
      <c r="B117" s="1"/>
      <c r="C117" s="1"/>
      <c r="D117" s="1"/>
    </row>
    <row r="118" ht="15.75" customHeight="1">
      <c r="A118" s="1"/>
      <c r="B118" s="1"/>
      <c r="C118" s="1"/>
      <c r="D118" s="1"/>
    </row>
    <row r="119" ht="15.75" customHeight="1">
      <c r="A119" s="1"/>
      <c r="B119" s="1"/>
      <c r="C119" s="1"/>
      <c r="D119" s="1"/>
    </row>
    <row r="120" ht="15.75" customHeight="1">
      <c r="A120" s="1"/>
      <c r="B120" s="1"/>
      <c r="C120" s="1"/>
      <c r="D120" s="1"/>
    </row>
    <row r="121" ht="15.75" customHeight="1">
      <c r="A121" s="1"/>
      <c r="B121" s="1"/>
      <c r="C121" s="1"/>
      <c r="D121" s="1"/>
    </row>
    <row r="122" ht="15.75" customHeight="1">
      <c r="A122" s="1"/>
      <c r="B122" s="1"/>
      <c r="C122" s="1"/>
      <c r="D122" s="1"/>
    </row>
    <row r="123" ht="15.75" customHeight="1">
      <c r="A123" s="1"/>
      <c r="B123" s="1"/>
      <c r="C123" s="1"/>
      <c r="D123" s="1"/>
    </row>
    <row r="124" ht="15.75" customHeight="1">
      <c r="A124" s="1"/>
      <c r="B124" s="1"/>
      <c r="C124" s="1"/>
      <c r="D124" s="1"/>
    </row>
    <row r="125" ht="15.75" customHeight="1">
      <c r="A125" s="1"/>
      <c r="B125" s="1"/>
      <c r="C125" s="1"/>
      <c r="D125" s="1"/>
    </row>
    <row r="126" ht="15.75" customHeight="1">
      <c r="A126" s="1"/>
      <c r="B126" s="1"/>
      <c r="C126" s="1"/>
      <c r="D126" s="1"/>
    </row>
    <row r="127" ht="15.75" customHeight="1">
      <c r="A127" s="1"/>
      <c r="B127" s="1"/>
      <c r="C127" s="1"/>
      <c r="D127" s="1"/>
    </row>
    <row r="128" ht="15.75" customHeight="1">
      <c r="A128" s="1"/>
      <c r="B128" s="1"/>
      <c r="C128" s="1"/>
      <c r="D128" s="1"/>
    </row>
    <row r="129" ht="15.75" customHeight="1">
      <c r="A129" s="1"/>
      <c r="B129" s="1"/>
      <c r="C129" s="1"/>
      <c r="D129" s="1"/>
    </row>
    <row r="130" ht="15.75" customHeight="1">
      <c r="A130" s="1"/>
      <c r="B130" s="1"/>
      <c r="C130" s="1"/>
      <c r="D130" s="1"/>
    </row>
    <row r="131" ht="15.75" customHeight="1">
      <c r="A131" s="1"/>
      <c r="B131" s="1"/>
      <c r="C131" s="1"/>
      <c r="D131" s="1"/>
    </row>
    <row r="132" ht="15.75" customHeight="1">
      <c r="A132" s="1"/>
      <c r="B132" s="1"/>
      <c r="C132" s="1"/>
      <c r="D132" s="1"/>
    </row>
    <row r="133" ht="15.75" customHeight="1">
      <c r="A133" s="1"/>
      <c r="B133" s="1"/>
      <c r="C133" s="1"/>
      <c r="D133" s="1"/>
    </row>
    <row r="134" ht="15.75" customHeight="1">
      <c r="A134" s="1"/>
      <c r="B134" s="1"/>
      <c r="C134" s="1"/>
      <c r="D134" s="1"/>
    </row>
    <row r="135" ht="15.75" customHeight="1">
      <c r="A135" s="1"/>
      <c r="B135" s="1"/>
      <c r="C135" s="1"/>
      <c r="D135" s="1"/>
    </row>
    <row r="136" ht="15.75" customHeight="1">
      <c r="A136" s="1"/>
      <c r="B136" s="1"/>
      <c r="C136" s="1"/>
      <c r="D136" s="1"/>
    </row>
    <row r="137" ht="15.75" customHeight="1">
      <c r="A137" s="1"/>
      <c r="B137" s="1"/>
      <c r="C137" s="1"/>
      <c r="D137" s="1"/>
    </row>
    <row r="138" ht="15.75" customHeight="1">
      <c r="A138" s="1"/>
      <c r="B138" s="1"/>
      <c r="C138" s="1"/>
      <c r="D138" s="1"/>
    </row>
    <row r="139" ht="15.75" customHeight="1">
      <c r="A139" s="1"/>
      <c r="B139" s="1"/>
      <c r="C139" s="1"/>
      <c r="D139" s="1"/>
    </row>
    <row r="140" ht="15.75" customHeight="1">
      <c r="A140" s="1"/>
      <c r="B140" s="1"/>
      <c r="C140" s="1"/>
      <c r="D140" s="1"/>
    </row>
    <row r="141" ht="15.75" customHeight="1">
      <c r="A141" s="1"/>
      <c r="B141" s="1"/>
      <c r="C141" s="1"/>
      <c r="D141" s="1"/>
    </row>
    <row r="142" ht="15.75" customHeight="1">
      <c r="A142" s="1"/>
      <c r="B142" s="1"/>
      <c r="C142" s="1"/>
      <c r="D142" s="1"/>
    </row>
    <row r="143" ht="15.75" customHeight="1">
      <c r="A143" s="1"/>
      <c r="B143" s="1"/>
      <c r="C143" s="1"/>
      <c r="D143" s="1"/>
    </row>
    <row r="144" ht="15.75" customHeight="1">
      <c r="A144" s="1"/>
      <c r="B144" s="1"/>
      <c r="C144" s="1"/>
      <c r="D144" s="1"/>
    </row>
    <row r="145" ht="15.75" customHeight="1">
      <c r="A145" s="1"/>
      <c r="B145" s="1"/>
      <c r="C145" s="1"/>
      <c r="D145" s="1"/>
    </row>
    <row r="146" ht="15.75" customHeight="1">
      <c r="A146" s="1"/>
      <c r="B146" s="1"/>
      <c r="C146" s="1"/>
      <c r="D146" s="1"/>
    </row>
    <row r="147" ht="15.75" customHeight="1">
      <c r="A147" s="1"/>
      <c r="B147" s="1"/>
      <c r="C147" s="1"/>
      <c r="D147" s="1"/>
    </row>
    <row r="148" ht="15.75" customHeight="1">
      <c r="A148" s="1"/>
      <c r="B148" s="1"/>
      <c r="C148" s="1"/>
      <c r="D148" s="1"/>
    </row>
    <row r="149" ht="15.75" customHeight="1">
      <c r="A149" s="1"/>
      <c r="B149" s="1"/>
      <c r="C149" s="1"/>
      <c r="D149" s="1"/>
    </row>
    <row r="150" ht="15.75" customHeight="1">
      <c r="A150" s="1"/>
      <c r="B150" s="1"/>
      <c r="C150" s="1"/>
      <c r="D150" s="1"/>
    </row>
    <row r="151" ht="15.75" customHeight="1">
      <c r="A151" s="1"/>
      <c r="B151" s="1"/>
      <c r="C151" s="1"/>
      <c r="D151" s="1"/>
    </row>
    <row r="152" ht="15.75" customHeight="1">
      <c r="A152" s="1"/>
      <c r="B152" s="1"/>
      <c r="C152" s="1"/>
      <c r="D152" s="1"/>
    </row>
    <row r="153" ht="15.75" customHeight="1">
      <c r="A153" s="1"/>
      <c r="B153" s="1"/>
      <c r="C153" s="1"/>
      <c r="D153" s="1"/>
    </row>
    <row r="154" ht="15.75" customHeight="1">
      <c r="A154" s="1"/>
      <c r="B154" s="1"/>
      <c r="C154" s="1"/>
      <c r="D154" s="1"/>
    </row>
    <row r="155" ht="15.75" customHeight="1">
      <c r="A155" s="1"/>
      <c r="B155" s="1"/>
      <c r="C155" s="1"/>
      <c r="D155" s="1"/>
    </row>
    <row r="156" ht="15.75" customHeight="1">
      <c r="A156" s="1"/>
      <c r="B156" s="1"/>
      <c r="C156" s="1"/>
      <c r="D156" s="1"/>
    </row>
    <row r="157" ht="15.75" customHeight="1">
      <c r="A157" s="1"/>
      <c r="B157" s="1"/>
      <c r="C157" s="1"/>
      <c r="D157" s="1"/>
    </row>
    <row r="158" ht="15.75" customHeight="1">
      <c r="A158" s="1"/>
      <c r="B158" s="1"/>
      <c r="C158" s="1"/>
      <c r="D158" s="1"/>
    </row>
    <row r="159" ht="15.75" customHeight="1">
      <c r="A159" s="1"/>
      <c r="B159" s="1"/>
      <c r="C159" s="1"/>
      <c r="D159" s="1"/>
    </row>
    <row r="160" ht="15.75" customHeight="1">
      <c r="A160" s="1"/>
      <c r="B160" s="1"/>
      <c r="C160" s="1"/>
      <c r="D160" s="1"/>
    </row>
    <row r="161" ht="15.75" customHeight="1">
      <c r="A161" s="1"/>
      <c r="B161" s="1"/>
      <c r="C161" s="1"/>
      <c r="D161" s="1"/>
    </row>
    <row r="162" ht="15.75" customHeight="1">
      <c r="A162" s="1"/>
      <c r="B162" s="1"/>
      <c r="C162" s="1"/>
      <c r="D162" s="1"/>
    </row>
    <row r="163" ht="15.75" customHeight="1">
      <c r="A163" s="1"/>
      <c r="B163" s="1"/>
      <c r="C163" s="1"/>
      <c r="D163" s="1"/>
    </row>
    <row r="164" ht="15.75" customHeight="1">
      <c r="A164" s="1"/>
      <c r="B164" s="1"/>
      <c r="C164" s="1"/>
      <c r="D164" s="1"/>
    </row>
    <row r="165" ht="15.75" customHeight="1">
      <c r="A165" s="1"/>
      <c r="B165" s="1"/>
      <c r="C165" s="1"/>
      <c r="D165" s="1"/>
    </row>
    <row r="166" ht="15.75" customHeight="1">
      <c r="A166" s="1"/>
      <c r="B166" s="1"/>
      <c r="C166" s="1"/>
      <c r="D166" s="1"/>
    </row>
    <row r="167" ht="15.75" customHeight="1">
      <c r="A167" s="1"/>
      <c r="B167" s="1"/>
      <c r="C167" s="1"/>
      <c r="D167" s="1"/>
    </row>
    <row r="168" ht="15.75" customHeight="1">
      <c r="A168" s="1"/>
      <c r="B168" s="1"/>
      <c r="C168" s="1"/>
      <c r="D168" s="1"/>
    </row>
    <row r="169" ht="15.75" customHeight="1">
      <c r="A169" s="1"/>
      <c r="B169" s="1"/>
      <c r="C169" s="1"/>
      <c r="D169" s="1"/>
    </row>
    <row r="170" ht="15.75" customHeight="1">
      <c r="A170" s="1"/>
      <c r="B170" s="1"/>
      <c r="C170" s="1"/>
      <c r="D170" s="1"/>
    </row>
    <row r="171" ht="15.75" customHeight="1">
      <c r="A171" s="1"/>
      <c r="B171" s="1"/>
      <c r="C171" s="1"/>
      <c r="D171" s="1"/>
    </row>
    <row r="172" ht="15.75" customHeight="1">
      <c r="A172" s="1"/>
      <c r="B172" s="1"/>
      <c r="C172" s="1"/>
      <c r="D172" s="1"/>
    </row>
    <row r="173" ht="15.75" customHeight="1">
      <c r="A173" s="1"/>
      <c r="B173" s="1"/>
      <c r="C173" s="1"/>
      <c r="D173" s="1"/>
    </row>
    <row r="174" ht="15.75" customHeight="1">
      <c r="A174" s="1"/>
      <c r="B174" s="1"/>
      <c r="C174" s="1"/>
      <c r="D174" s="1"/>
    </row>
    <row r="175" ht="15.75" customHeight="1">
      <c r="A175" s="1"/>
      <c r="B175" s="1"/>
      <c r="C175" s="1"/>
      <c r="D175" s="1"/>
    </row>
    <row r="176" ht="15.75" customHeight="1">
      <c r="A176" s="1"/>
      <c r="B176" s="1"/>
      <c r="C176" s="1"/>
      <c r="D176" s="1"/>
    </row>
    <row r="177" ht="15.75" customHeight="1">
      <c r="A177" s="1"/>
      <c r="B177" s="1"/>
      <c r="C177" s="1"/>
      <c r="D177" s="1"/>
    </row>
    <row r="178" ht="15.75" customHeight="1">
      <c r="A178" s="1"/>
      <c r="B178" s="1"/>
      <c r="C178" s="1"/>
      <c r="D178" s="1"/>
    </row>
    <row r="179" ht="15.75" customHeight="1">
      <c r="A179" s="1"/>
      <c r="B179" s="1"/>
      <c r="C179" s="1"/>
      <c r="D179" s="1"/>
    </row>
    <row r="180" ht="15.75" customHeight="1">
      <c r="A180" s="1"/>
      <c r="B180" s="1"/>
      <c r="C180" s="1"/>
      <c r="D180" s="1"/>
    </row>
    <row r="181" ht="15.75" customHeight="1">
      <c r="A181" s="1"/>
      <c r="B181" s="1"/>
      <c r="C181" s="1"/>
      <c r="D181" s="1"/>
    </row>
    <row r="182" ht="15.75" customHeight="1">
      <c r="A182" s="1"/>
      <c r="B182" s="1"/>
      <c r="C182" s="1"/>
      <c r="D182" s="1"/>
    </row>
    <row r="183" ht="15.75" customHeight="1">
      <c r="A183" s="1"/>
      <c r="B183" s="1"/>
      <c r="C183" s="1"/>
      <c r="D183" s="1"/>
    </row>
    <row r="184" ht="15.75" customHeight="1">
      <c r="A184" s="1"/>
      <c r="B184" s="1"/>
      <c r="C184" s="1"/>
      <c r="D184" s="1"/>
    </row>
    <row r="185" ht="15.75" customHeight="1">
      <c r="A185" s="1"/>
      <c r="B185" s="1"/>
      <c r="C185" s="1"/>
      <c r="D185" s="1"/>
    </row>
    <row r="186" ht="15.75" customHeight="1">
      <c r="A186" s="1"/>
      <c r="B186" s="1"/>
      <c r="C186" s="1"/>
      <c r="D186" s="1"/>
    </row>
    <row r="187" ht="15.75" customHeight="1">
      <c r="A187" s="1"/>
      <c r="B187" s="1"/>
      <c r="C187" s="1"/>
      <c r="D187" s="1"/>
    </row>
    <row r="188" ht="15.75" customHeight="1">
      <c r="A188" s="1"/>
      <c r="B188" s="1"/>
      <c r="C188" s="1"/>
      <c r="D188" s="1"/>
    </row>
    <row r="189" ht="15.75" customHeight="1">
      <c r="A189" s="1"/>
      <c r="B189" s="1"/>
      <c r="C189" s="1"/>
      <c r="D189" s="1"/>
    </row>
    <row r="190" ht="15.75" customHeight="1">
      <c r="A190" s="1"/>
      <c r="B190" s="1"/>
      <c r="C190" s="1"/>
      <c r="D190" s="1"/>
    </row>
    <row r="191" ht="15.75" customHeight="1">
      <c r="A191" s="1"/>
      <c r="B191" s="1"/>
      <c r="C191" s="1"/>
      <c r="D191" s="1"/>
    </row>
    <row r="192" ht="15.75" customHeight="1">
      <c r="A192" s="1"/>
      <c r="B192" s="1"/>
      <c r="C192" s="1"/>
      <c r="D192" s="1"/>
    </row>
    <row r="193" ht="15.75" customHeight="1">
      <c r="A193" s="1"/>
      <c r="B193" s="1"/>
      <c r="C193" s="1"/>
      <c r="D193" s="1"/>
    </row>
    <row r="194" ht="15.75" customHeight="1">
      <c r="A194" s="1"/>
      <c r="B194" s="1"/>
      <c r="C194" s="1"/>
      <c r="D194" s="1"/>
    </row>
    <row r="195" ht="15.75" customHeight="1">
      <c r="A195" s="1"/>
      <c r="B195" s="1"/>
      <c r="C195" s="1"/>
      <c r="D195" s="1"/>
    </row>
    <row r="196" ht="15.75" customHeight="1">
      <c r="A196" s="1"/>
      <c r="B196" s="1"/>
      <c r="C196" s="1"/>
      <c r="D196" s="1"/>
    </row>
    <row r="197" ht="15.75" customHeight="1">
      <c r="A197" s="1"/>
      <c r="B197" s="1"/>
      <c r="C197" s="1"/>
      <c r="D197" s="1"/>
    </row>
    <row r="198" ht="15.75" customHeight="1">
      <c r="A198" s="1"/>
      <c r="B198" s="1"/>
      <c r="C198" s="1"/>
      <c r="D198" s="1"/>
    </row>
    <row r="199" ht="15.75" customHeight="1">
      <c r="A199" s="1"/>
      <c r="B199" s="1"/>
      <c r="C199" s="1"/>
      <c r="D199" s="1"/>
    </row>
    <row r="200" ht="15.75" customHeight="1">
      <c r="A200" s="1"/>
      <c r="B200" s="1"/>
      <c r="C200" s="1"/>
      <c r="D200" s="1"/>
    </row>
    <row r="201" ht="15.75" customHeight="1">
      <c r="A201" s="1"/>
      <c r="B201" s="1"/>
      <c r="C201" s="1"/>
      <c r="D201" s="1"/>
    </row>
    <row r="202" ht="15.75" customHeight="1">
      <c r="A202" s="1"/>
      <c r="B202" s="1"/>
      <c r="C202" s="1"/>
      <c r="D202" s="1"/>
    </row>
    <row r="203" ht="15.75" customHeight="1">
      <c r="A203" s="1"/>
      <c r="B203" s="1"/>
      <c r="C203" s="1"/>
      <c r="D203" s="1"/>
    </row>
    <row r="204" ht="15.75" customHeight="1">
      <c r="A204" s="1"/>
      <c r="B204" s="1"/>
      <c r="C204" s="1"/>
      <c r="D204" s="1"/>
    </row>
    <row r="205" ht="15.75" customHeight="1">
      <c r="A205" s="1"/>
      <c r="B205" s="1"/>
      <c r="C205" s="1"/>
      <c r="D205" s="1"/>
    </row>
    <row r="206" ht="15.75" customHeight="1">
      <c r="A206" s="1"/>
      <c r="B206" s="1"/>
      <c r="C206" s="1"/>
      <c r="D206" s="1"/>
    </row>
    <row r="207" ht="15.75" customHeight="1">
      <c r="A207" s="1"/>
      <c r="B207" s="1"/>
      <c r="C207" s="1"/>
      <c r="D207" s="1"/>
    </row>
    <row r="208" ht="15.75" customHeight="1">
      <c r="A208" s="1"/>
      <c r="B208" s="1"/>
      <c r="C208" s="1"/>
      <c r="D208" s="1"/>
    </row>
    <row r="209" ht="15.75" customHeight="1">
      <c r="A209" s="1"/>
      <c r="B209" s="1"/>
      <c r="C209" s="1"/>
      <c r="D209" s="1"/>
    </row>
    <row r="210" ht="15.75" customHeight="1">
      <c r="A210" s="1"/>
      <c r="B210" s="1"/>
      <c r="C210" s="1"/>
      <c r="D210" s="1"/>
    </row>
    <row r="211" ht="15.75" customHeight="1">
      <c r="A211" s="1"/>
      <c r="B211" s="1"/>
      <c r="C211" s="1"/>
      <c r="D211" s="1"/>
    </row>
    <row r="212" ht="15.75" customHeight="1">
      <c r="A212" s="1"/>
      <c r="B212" s="1"/>
      <c r="C212" s="1"/>
      <c r="D212" s="1"/>
    </row>
    <row r="213" ht="15.75" customHeight="1">
      <c r="A213" s="1"/>
      <c r="B213" s="1"/>
      <c r="C213" s="1"/>
      <c r="D213" s="1"/>
    </row>
    <row r="214" ht="15.75" customHeight="1">
      <c r="A214" s="1"/>
      <c r="B214" s="1"/>
      <c r="C214" s="1"/>
      <c r="D214" s="1"/>
    </row>
    <row r="215" ht="15.75" customHeight="1">
      <c r="A215" s="1"/>
      <c r="B215" s="1"/>
      <c r="C215" s="1"/>
      <c r="D215" s="1"/>
    </row>
    <row r="216" ht="15.75" customHeight="1">
      <c r="A216" s="1"/>
      <c r="B216" s="1"/>
      <c r="C216" s="1"/>
      <c r="D216" s="1"/>
    </row>
    <row r="217" ht="15.75" customHeight="1">
      <c r="A217" s="1"/>
      <c r="B217" s="1"/>
      <c r="C217" s="1"/>
      <c r="D217" s="1"/>
    </row>
    <row r="218" ht="15.75" customHeight="1">
      <c r="A218" s="1"/>
      <c r="B218" s="1"/>
      <c r="C218" s="1"/>
      <c r="D218" s="1"/>
    </row>
    <row r="219" ht="15.75" customHeight="1">
      <c r="A219" s="1"/>
      <c r="B219" s="1"/>
      <c r="C219" s="1"/>
      <c r="D219" s="1"/>
    </row>
    <row r="220" ht="15.75" customHeight="1">
      <c r="A220" s="1"/>
      <c r="B220" s="1"/>
      <c r="C220" s="1"/>
      <c r="D220" s="1"/>
    </row>
    <row r="221" ht="15.75" customHeight="1">
      <c r="A221" s="1"/>
      <c r="B221" s="1"/>
      <c r="C221" s="1"/>
      <c r="D221" s="1"/>
    </row>
    <row r="222" ht="15.75" customHeight="1">
      <c r="A222" s="1"/>
      <c r="B222" s="1"/>
      <c r="C222" s="1"/>
      <c r="D222" s="1"/>
    </row>
    <row r="223" ht="15.75" customHeight="1">
      <c r="A223" s="1"/>
      <c r="B223" s="1"/>
      <c r="C223" s="1"/>
      <c r="D223" s="1"/>
    </row>
    <row r="224" ht="15.75" customHeight="1">
      <c r="A224" s="1"/>
      <c r="B224" s="1"/>
      <c r="C224" s="1"/>
      <c r="D224" s="1"/>
    </row>
    <row r="225" ht="15.75" customHeight="1">
      <c r="A225" s="1"/>
      <c r="B225" s="1"/>
      <c r="C225" s="1"/>
      <c r="D225" s="1"/>
    </row>
    <row r="226" ht="15.75" customHeight="1">
      <c r="A226" s="1"/>
      <c r="B226" s="1"/>
      <c r="C226" s="1"/>
      <c r="D226" s="1"/>
    </row>
    <row r="227" ht="15.75" customHeight="1">
      <c r="A227" s="1"/>
      <c r="B227" s="1"/>
      <c r="C227" s="1"/>
      <c r="D227" s="1"/>
    </row>
    <row r="228" ht="15.75" customHeight="1">
      <c r="A228" s="1"/>
      <c r="B228" s="1"/>
      <c r="C228" s="1"/>
      <c r="D228" s="1"/>
    </row>
    <row r="229" ht="15.75" customHeight="1">
      <c r="A229" s="1"/>
      <c r="B229" s="1"/>
      <c r="C229" s="1"/>
      <c r="D229" s="1"/>
    </row>
    <row r="230" ht="15.75" customHeight="1">
      <c r="A230" s="1"/>
      <c r="B230" s="1"/>
      <c r="C230" s="1"/>
      <c r="D230" s="1"/>
    </row>
    <row r="231" ht="15.75" customHeight="1">
      <c r="A231" s="1"/>
      <c r="B231" s="1"/>
      <c r="C231" s="1"/>
      <c r="D231" s="1"/>
    </row>
    <row r="232" ht="15.75" customHeight="1">
      <c r="A232" s="1"/>
      <c r="B232" s="1"/>
      <c r="C232" s="1"/>
      <c r="D232" s="1"/>
    </row>
    <row r="233" ht="15.75" customHeight="1">
      <c r="A233" s="1"/>
      <c r="B233" s="1"/>
      <c r="C233" s="1"/>
      <c r="D233" s="1"/>
    </row>
    <row r="234" ht="15.75" customHeight="1">
      <c r="A234" s="1"/>
      <c r="B234" s="1"/>
      <c r="C234" s="1"/>
      <c r="D234" s="1"/>
    </row>
    <row r="235" ht="15.75" customHeight="1">
      <c r="A235" s="1"/>
      <c r="B235" s="1"/>
      <c r="C235" s="1"/>
      <c r="D235" s="1"/>
    </row>
    <row r="236" ht="15.75" customHeight="1">
      <c r="A236" s="1"/>
      <c r="B236" s="1"/>
      <c r="C236" s="1"/>
      <c r="D236" s="1"/>
    </row>
    <row r="237" ht="15.75" customHeight="1">
      <c r="A237" s="1"/>
      <c r="B237" s="1"/>
      <c r="C237" s="1"/>
      <c r="D237" s="1"/>
    </row>
    <row r="238" ht="15.75" customHeight="1">
      <c r="A238" s="1"/>
      <c r="B238" s="1"/>
      <c r="C238" s="1"/>
      <c r="D238" s="1"/>
    </row>
    <row r="239" ht="15.75" customHeight="1">
      <c r="A239" s="1"/>
      <c r="B239" s="1"/>
      <c r="C239" s="1"/>
      <c r="D239" s="1"/>
    </row>
    <row r="240" ht="15.75" customHeight="1">
      <c r="A240" s="1"/>
      <c r="B240" s="1"/>
      <c r="C240" s="1"/>
      <c r="D240" s="1"/>
    </row>
    <row r="241" ht="15.75" customHeight="1">
      <c r="A241" s="1"/>
      <c r="B241" s="1"/>
      <c r="C241" s="1"/>
      <c r="D241" s="1"/>
    </row>
    <row r="242" ht="15.75" customHeight="1">
      <c r="A242" s="1"/>
      <c r="B242" s="1"/>
      <c r="C242" s="1"/>
      <c r="D242" s="1"/>
    </row>
    <row r="243" ht="15.75" customHeight="1">
      <c r="A243" s="1"/>
      <c r="B243" s="1"/>
      <c r="C243" s="1"/>
      <c r="D243" s="1"/>
    </row>
    <row r="244" ht="15.75" customHeight="1">
      <c r="A244" s="1"/>
      <c r="B244" s="1"/>
      <c r="C244" s="1"/>
      <c r="D244" s="1"/>
    </row>
    <row r="245" ht="15.75" customHeight="1">
      <c r="A245" s="1"/>
      <c r="B245" s="1"/>
      <c r="C245" s="1"/>
      <c r="D245" s="1"/>
    </row>
    <row r="246" ht="15.75" customHeight="1">
      <c r="A246" s="1"/>
      <c r="B246" s="1"/>
      <c r="C246" s="1"/>
      <c r="D246" s="1"/>
    </row>
    <row r="247" ht="15.75" customHeight="1">
      <c r="A247" s="1"/>
      <c r="B247" s="1"/>
      <c r="C247" s="1"/>
      <c r="D247" s="1"/>
    </row>
    <row r="248" ht="15.75" customHeight="1">
      <c r="A248" s="1"/>
      <c r="B248" s="1"/>
      <c r="C248" s="1"/>
      <c r="D248" s="1"/>
    </row>
    <row r="249" ht="15.75" customHeight="1">
      <c r="A249" s="1"/>
      <c r="B249" s="1"/>
      <c r="C249" s="1"/>
      <c r="D249" s="1"/>
    </row>
    <row r="250" ht="15.75" customHeight="1">
      <c r="A250" s="1"/>
      <c r="B250" s="1"/>
      <c r="C250" s="1"/>
      <c r="D250" s="1"/>
    </row>
    <row r="251" ht="15.75" customHeight="1">
      <c r="A251" s="1"/>
      <c r="B251" s="1"/>
      <c r="C251" s="1"/>
      <c r="D251" s="1"/>
    </row>
    <row r="252" ht="15.75" customHeight="1">
      <c r="A252" s="1"/>
      <c r="B252" s="1"/>
      <c r="C252" s="1"/>
      <c r="D252" s="1"/>
    </row>
    <row r="253" ht="15.75" customHeight="1">
      <c r="A253" s="1"/>
      <c r="B253" s="1"/>
      <c r="C253" s="1"/>
      <c r="D253" s="1"/>
    </row>
    <row r="254" ht="15.75" customHeight="1">
      <c r="A254" s="1"/>
      <c r="B254" s="1"/>
      <c r="C254" s="1"/>
      <c r="D254" s="1"/>
    </row>
    <row r="255" ht="15.75" customHeight="1">
      <c r="A255" s="1"/>
      <c r="B255" s="1"/>
      <c r="C255" s="1"/>
      <c r="D255" s="1"/>
    </row>
    <row r="256" ht="15.75" customHeight="1">
      <c r="A256" s="1"/>
      <c r="B256" s="1"/>
      <c r="C256" s="1"/>
      <c r="D256" s="1"/>
    </row>
    <row r="257" ht="15.75" customHeight="1">
      <c r="A257" s="1"/>
      <c r="B257" s="1"/>
      <c r="C257" s="1"/>
      <c r="D257" s="1"/>
    </row>
    <row r="258" ht="15.75" customHeight="1">
      <c r="A258" s="1"/>
      <c r="B258" s="1"/>
      <c r="C258" s="1"/>
      <c r="D258" s="1"/>
    </row>
    <row r="259" ht="15.75" customHeight="1">
      <c r="A259" s="1"/>
      <c r="B259" s="1"/>
      <c r="C259" s="1"/>
      <c r="D259" s="1"/>
    </row>
    <row r="260" ht="15.75" customHeight="1">
      <c r="A260" s="1"/>
      <c r="B260" s="1"/>
      <c r="C260" s="1"/>
      <c r="D260" s="1"/>
    </row>
    <row r="261" ht="15.75" customHeight="1">
      <c r="A261" s="1"/>
      <c r="B261" s="1"/>
      <c r="C261" s="1"/>
      <c r="D261" s="1"/>
    </row>
    <row r="262" ht="15.75" customHeight="1">
      <c r="A262" s="1"/>
      <c r="B262" s="1"/>
      <c r="C262" s="1"/>
      <c r="D262" s="1"/>
    </row>
    <row r="263" ht="15.75" customHeight="1">
      <c r="A263" s="1"/>
      <c r="B263" s="1"/>
      <c r="C263" s="1"/>
      <c r="D263" s="1"/>
    </row>
    <row r="264" ht="15.75" customHeight="1">
      <c r="A264" s="1"/>
      <c r="B264" s="1"/>
      <c r="C264" s="1"/>
      <c r="D264" s="1"/>
    </row>
    <row r="265" ht="15.75" customHeight="1">
      <c r="A265" s="1"/>
      <c r="B265" s="1"/>
      <c r="C265" s="1"/>
      <c r="D265" s="1"/>
    </row>
    <row r="266" ht="15.75" customHeight="1">
      <c r="A266" s="1"/>
      <c r="B266" s="1"/>
      <c r="C266" s="1"/>
      <c r="D266" s="1"/>
    </row>
    <row r="267" ht="15.75" customHeight="1">
      <c r="A267" s="1"/>
      <c r="B267" s="1"/>
      <c r="C267" s="1"/>
      <c r="D267" s="1"/>
    </row>
    <row r="268" ht="15.75" customHeight="1">
      <c r="A268" s="1"/>
      <c r="B268" s="1"/>
      <c r="C268" s="1"/>
      <c r="D268" s="1"/>
    </row>
    <row r="269" ht="15.75" customHeight="1">
      <c r="A269" s="1"/>
      <c r="B269" s="1"/>
      <c r="C269" s="1"/>
      <c r="D269" s="1"/>
    </row>
    <row r="270" ht="15.75" customHeight="1">
      <c r="A270" s="1"/>
      <c r="B270" s="1"/>
      <c r="C270" s="1"/>
      <c r="D270" s="1"/>
    </row>
    <row r="271" ht="15.75" customHeight="1">
      <c r="A271" s="1"/>
      <c r="B271" s="1"/>
      <c r="C271" s="1"/>
      <c r="D271" s="1"/>
    </row>
    <row r="272" ht="15.75" customHeight="1">
      <c r="A272" s="1"/>
      <c r="B272" s="1"/>
      <c r="C272" s="1"/>
      <c r="D272" s="1"/>
    </row>
    <row r="273" ht="15.75" customHeight="1">
      <c r="A273" s="1"/>
      <c r="B273" s="1"/>
      <c r="C273" s="1"/>
      <c r="D273" s="1"/>
    </row>
    <row r="274" ht="15.75" customHeight="1">
      <c r="A274" s="1"/>
      <c r="B274" s="1"/>
      <c r="C274" s="1"/>
      <c r="D274" s="1"/>
    </row>
    <row r="275" ht="15.75" customHeight="1">
      <c r="A275" s="1"/>
      <c r="B275" s="1"/>
      <c r="C275" s="1"/>
      <c r="D275" s="1"/>
    </row>
    <row r="276" ht="15.75" customHeight="1">
      <c r="A276" s="1"/>
      <c r="B276" s="1"/>
      <c r="C276" s="1"/>
      <c r="D276" s="1"/>
    </row>
    <row r="277" ht="15.75" customHeight="1">
      <c r="A277" s="1"/>
      <c r="B277" s="1"/>
      <c r="C277" s="1"/>
      <c r="D277" s="1"/>
    </row>
    <row r="278" ht="15.75" customHeight="1">
      <c r="A278" s="1"/>
      <c r="B278" s="1"/>
      <c r="C278" s="1"/>
      <c r="D278" s="1"/>
    </row>
    <row r="279" ht="15.75" customHeight="1">
      <c r="A279" s="1"/>
      <c r="B279" s="1"/>
      <c r="C279" s="1"/>
      <c r="D279" s="1"/>
    </row>
    <row r="280" ht="15.75" customHeight="1">
      <c r="A280" s="1"/>
      <c r="B280" s="1"/>
      <c r="C280" s="1"/>
      <c r="D280" s="1"/>
    </row>
    <row r="281" ht="15.75" customHeight="1">
      <c r="A281" s="1"/>
      <c r="B281" s="1"/>
      <c r="C281" s="1"/>
      <c r="D281" s="1"/>
    </row>
    <row r="282" ht="15.75" customHeight="1">
      <c r="A282" s="1"/>
      <c r="B282" s="1"/>
      <c r="C282" s="1"/>
      <c r="D282" s="1"/>
    </row>
    <row r="283" ht="15.75" customHeight="1">
      <c r="A283" s="1"/>
      <c r="B283" s="1"/>
      <c r="C283" s="1"/>
      <c r="D283" s="1"/>
    </row>
    <row r="284" ht="15.75" customHeight="1">
      <c r="A284" s="1"/>
      <c r="B284" s="1"/>
      <c r="C284" s="1"/>
      <c r="D284" s="1"/>
    </row>
    <row r="285" ht="15.75" customHeight="1">
      <c r="A285" s="1"/>
      <c r="B285" s="1"/>
      <c r="C285" s="1"/>
      <c r="D285" s="1"/>
    </row>
    <row r="286" ht="15.75" customHeight="1">
      <c r="A286" s="1"/>
      <c r="B286" s="1"/>
      <c r="C286" s="1"/>
      <c r="D286" s="1"/>
    </row>
    <row r="287" ht="15.75" customHeight="1">
      <c r="A287" s="1"/>
      <c r="B287" s="1"/>
      <c r="C287" s="1"/>
      <c r="D287" s="1"/>
    </row>
    <row r="288" ht="15.75" customHeight="1">
      <c r="A288" s="1"/>
      <c r="B288" s="1"/>
      <c r="C288" s="1"/>
      <c r="D288" s="1"/>
    </row>
    <row r="289" ht="15.75" customHeight="1">
      <c r="A289" s="1"/>
      <c r="B289" s="1"/>
      <c r="C289" s="1"/>
      <c r="D289" s="1"/>
    </row>
    <row r="290" ht="15.75" customHeight="1">
      <c r="A290" s="1"/>
      <c r="B290" s="1"/>
      <c r="C290" s="1"/>
      <c r="D290" s="1"/>
    </row>
    <row r="291" ht="15.75" customHeight="1">
      <c r="A291" s="1"/>
      <c r="B291" s="1"/>
      <c r="C291" s="1"/>
      <c r="D291" s="1"/>
    </row>
    <row r="292" ht="15.75" customHeight="1">
      <c r="A292" s="1"/>
      <c r="B292" s="1"/>
      <c r="C292" s="1"/>
      <c r="D292" s="1"/>
    </row>
    <row r="293" ht="15.75" customHeight="1">
      <c r="A293" s="1"/>
      <c r="B293" s="1"/>
      <c r="C293" s="1"/>
      <c r="D293" s="1"/>
    </row>
    <row r="294" ht="15.75" customHeight="1">
      <c r="A294" s="1"/>
      <c r="B294" s="1"/>
      <c r="C294" s="1"/>
      <c r="D294" s="1"/>
    </row>
    <row r="295" ht="15.75" customHeight="1">
      <c r="A295" s="1"/>
      <c r="B295" s="1"/>
      <c r="C295" s="1"/>
      <c r="D295" s="1"/>
    </row>
    <row r="296" ht="15.75" customHeight="1">
      <c r="A296" s="1"/>
      <c r="B296" s="1"/>
      <c r="C296" s="1"/>
      <c r="D296" s="1"/>
    </row>
    <row r="297" ht="15.75" customHeight="1">
      <c r="A297" s="1"/>
      <c r="B297" s="1"/>
      <c r="C297" s="1"/>
      <c r="D297" s="1"/>
    </row>
    <row r="298" ht="15.75" customHeight="1">
      <c r="A298" s="1"/>
      <c r="B298" s="1"/>
      <c r="C298" s="1"/>
      <c r="D298" s="1"/>
    </row>
    <row r="299" ht="15.75" customHeight="1">
      <c r="A299" s="1"/>
      <c r="B299" s="1"/>
      <c r="C299" s="1"/>
      <c r="D299" s="1"/>
    </row>
    <row r="300" ht="15.75" customHeight="1">
      <c r="A300" s="1"/>
      <c r="B300" s="1"/>
      <c r="C300" s="1"/>
      <c r="D300" s="1"/>
    </row>
    <row r="301" ht="15.75" customHeight="1">
      <c r="A301" s="1"/>
      <c r="B301" s="1"/>
      <c r="C301" s="1"/>
      <c r="D301" s="1"/>
    </row>
    <row r="302" ht="15.75" customHeight="1">
      <c r="A302" s="1"/>
      <c r="B302" s="1"/>
      <c r="C302" s="1"/>
      <c r="D302" s="1"/>
    </row>
    <row r="303" ht="15.75" customHeight="1">
      <c r="A303" s="1"/>
      <c r="B303" s="1"/>
      <c r="C303" s="1"/>
      <c r="D303" s="1"/>
    </row>
    <row r="304" ht="15.75" customHeight="1">
      <c r="A304" s="1"/>
      <c r="B304" s="1"/>
      <c r="C304" s="1"/>
      <c r="D304" s="1"/>
    </row>
    <row r="305" ht="15.75" customHeight="1">
      <c r="A305" s="1"/>
      <c r="B305" s="1"/>
      <c r="C305" s="1"/>
      <c r="D305" s="1"/>
    </row>
    <row r="306" ht="15.75" customHeight="1">
      <c r="A306" s="1"/>
      <c r="B306" s="1"/>
      <c r="C306" s="1"/>
      <c r="D306" s="1"/>
    </row>
    <row r="307" ht="15.75" customHeight="1">
      <c r="A307" s="1"/>
      <c r="B307" s="1"/>
      <c r="C307" s="1"/>
      <c r="D307" s="1"/>
    </row>
    <row r="308" ht="15.75" customHeight="1">
      <c r="A308" s="1"/>
      <c r="B308" s="1"/>
      <c r="C308" s="1"/>
      <c r="D308" s="1"/>
    </row>
    <row r="309" ht="15.75" customHeight="1">
      <c r="A309" s="1"/>
      <c r="B309" s="1"/>
      <c r="C309" s="1"/>
      <c r="D309" s="1"/>
    </row>
    <row r="310" ht="15.75" customHeight="1">
      <c r="A310" s="1"/>
      <c r="B310" s="1"/>
      <c r="C310" s="1"/>
      <c r="D310" s="1"/>
    </row>
    <row r="311" ht="15.75" customHeight="1">
      <c r="A311" s="1"/>
      <c r="B311" s="1"/>
      <c r="C311" s="1"/>
      <c r="D311" s="1"/>
    </row>
    <row r="312" ht="15.75" customHeight="1">
      <c r="A312" s="1"/>
      <c r="B312" s="1"/>
      <c r="C312" s="1"/>
      <c r="D312" s="1"/>
    </row>
    <row r="313" ht="15.75" customHeight="1">
      <c r="A313" s="1"/>
      <c r="B313" s="1"/>
      <c r="C313" s="1"/>
      <c r="D313" s="1"/>
    </row>
    <row r="314" ht="15.75" customHeight="1">
      <c r="A314" s="1"/>
      <c r="B314" s="1"/>
      <c r="C314" s="1"/>
      <c r="D314" s="1"/>
    </row>
    <row r="315" ht="15.75" customHeight="1">
      <c r="A315" s="1"/>
      <c r="B315" s="1"/>
      <c r="C315" s="1"/>
      <c r="D315" s="1"/>
    </row>
    <row r="316" ht="15.75" customHeight="1">
      <c r="A316" s="1"/>
      <c r="B316" s="1"/>
      <c r="C316" s="1"/>
      <c r="D316" s="1"/>
    </row>
    <row r="317" ht="15.75" customHeight="1">
      <c r="A317" s="1"/>
      <c r="B317" s="1"/>
      <c r="C317" s="1"/>
      <c r="D317" s="1"/>
    </row>
    <row r="318" ht="15.75" customHeight="1">
      <c r="A318" s="1"/>
      <c r="B318" s="1"/>
      <c r="C318" s="1"/>
      <c r="D318" s="1"/>
    </row>
    <row r="319" ht="15.75" customHeight="1">
      <c r="A319" s="1"/>
      <c r="B319" s="1"/>
      <c r="C319" s="1"/>
      <c r="D319" s="1"/>
    </row>
    <row r="320" ht="15.75" customHeight="1">
      <c r="A320" s="1"/>
      <c r="B320" s="1"/>
      <c r="C320" s="1"/>
      <c r="D320" s="1"/>
    </row>
    <row r="321" ht="15.75" customHeight="1">
      <c r="A321" s="1"/>
      <c r="B321" s="1"/>
      <c r="C321" s="1"/>
      <c r="D321" s="1"/>
    </row>
    <row r="322" ht="15.75" customHeight="1">
      <c r="A322" s="1"/>
      <c r="B322" s="1"/>
      <c r="C322" s="1"/>
      <c r="D322" s="1"/>
    </row>
    <row r="323" ht="15.75" customHeight="1">
      <c r="A323" s="1"/>
      <c r="B323" s="1"/>
      <c r="C323" s="1"/>
      <c r="D323" s="1"/>
    </row>
    <row r="324" ht="15.75" customHeight="1">
      <c r="A324" s="1"/>
      <c r="B324" s="1"/>
      <c r="C324" s="1"/>
      <c r="D324" s="1"/>
    </row>
    <row r="325" ht="15.75" customHeight="1">
      <c r="A325" s="1"/>
      <c r="B325" s="1"/>
      <c r="C325" s="1"/>
      <c r="D325" s="1"/>
    </row>
    <row r="326" ht="15.75" customHeight="1">
      <c r="A326" s="1"/>
      <c r="B326" s="1"/>
      <c r="C326" s="1"/>
      <c r="D326" s="1"/>
    </row>
    <row r="327" ht="15.75" customHeight="1">
      <c r="A327" s="1"/>
      <c r="B327" s="1"/>
      <c r="C327" s="1"/>
      <c r="D327" s="1"/>
    </row>
    <row r="328" ht="15.75" customHeight="1">
      <c r="A328" s="1"/>
      <c r="B328" s="1"/>
      <c r="C328" s="1"/>
      <c r="D328" s="1"/>
    </row>
    <row r="329" ht="15.75" customHeight="1">
      <c r="A329" s="1"/>
      <c r="B329" s="1"/>
      <c r="C329" s="1"/>
      <c r="D329" s="1"/>
    </row>
    <row r="330" ht="15.75" customHeight="1">
      <c r="A330" s="1"/>
      <c r="B330" s="1"/>
      <c r="C330" s="1"/>
      <c r="D330" s="1"/>
    </row>
    <row r="331" ht="15.75" customHeight="1">
      <c r="A331" s="1"/>
      <c r="B331" s="1"/>
      <c r="C331" s="1"/>
      <c r="D331" s="1"/>
    </row>
    <row r="332" ht="15.75" customHeight="1">
      <c r="A332" s="1"/>
      <c r="B332" s="1"/>
      <c r="C332" s="1"/>
      <c r="D332" s="1"/>
    </row>
    <row r="333" ht="15.75" customHeight="1">
      <c r="A333" s="1"/>
      <c r="B333" s="1"/>
      <c r="C333" s="1"/>
      <c r="D333" s="1"/>
    </row>
    <row r="334" ht="15.75" customHeight="1">
      <c r="A334" s="1"/>
      <c r="B334" s="1"/>
      <c r="C334" s="1"/>
      <c r="D334" s="1"/>
    </row>
    <row r="335" ht="15.75" customHeight="1">
      <c r="A335" s="1"/>
      <c r="B335" s="1"/>
      <c r="C335" s="1"/>
      <c r="D335" s="1"/>
    </row>
    <row r="336" ht="15.75" customHeight="1">
      <c r="A336" s="1"/>
      <c r="B336" s="1"/>
      <c r="C336" s="1"/>
      <c r="D336" s="1"/>
    </row>
    <row r="337" ht="15.75" customHeight="1">
      <c r="A337" s="1"/>
      <c r="B337" s="1"/>
      <c r="C337" s="1"/>
      <c r="D337" s="1"/>
    </row>
    <row r="338" ht="15.75" customHeight="1">
      <c r="A338" s="1"/>
      <c r="B338" s="1"/>
      <c r="C338" s="1"/>
      <c r="D338" s="1"/>
    </row>
    <row r="339" ht="15.75" customHeight="1">
      <c r="A339" s="1"/>
      <c r="B339" s="1"/>
      <c r="C339" s="1"/>
      <c r="D339" s="1"/>
    </row>
    <row r="340" ht="15.75" customHeight="1">
      <c r="A340" s="1"/>
      <c r="B340" s="1"/>
      <c r="C340" s="1"/>
      <c r="D340" s="1"/>
    </row>
    <row r="341" ht="15.75" customHeight="1">
      <c r="A341" s="1"/>
      <c r="B341" s="1"/>
      <c r="C341" s="1"/>
      <c r="D341" s="1"/>
    </row>
    <row r="342" ht="15.75" customHeight="1">
      <c r="A342" s="1"/>
      <c r="B342" s="1"/>
      <c r="C342" s="1"/>
      <c r="D342" s="1"/>
    </row>
    <row r="343" ht="15.75" customHeight="1">
      <c r="A343" s="1"/>
      <c r="B343" s="1"/>
      <c r="C343" s="1"/>
      <c r="D343" s="1"/>
    </row>
    <row r="344" ht="15.75" customHeight="1">
      <c r="A344" s="1"/>
      <c r="B344" s="1"/>
      <c r="C344" s="1"/>
      <c r="D344" s="1"/>
    </row>
    <row r="345" ht="15.75" customHeight="1">
      <c r="A345" s="1"/>
      <c r="B345" s="1"/>
      <c r="C345" s="1"/>
      <c r="D345" s="1"/>
    </row>
    <row r="346" ht="15.75" customHeight="1">
      <c r="A346" s="1"/>
      <c r="B346" s="1"/>
      <c r="C346" s="1"/>
      <c r="D346" s="1"/>
    </row>
    <row r="347" ht="15.75" customHeight="1">
      <c r="A347" s="1"/>
      <c r="B347" s="1"/>
      <c r="C347" s="1"/>
      <c r="D347" s="1"/>
    </row>
    <row r="348" ht="15.75" customHeight="1">
      <c r="A348" s="1"/>
      <c r="B348" s="1"/>
      <c r="C348" s="1"/>
      <c r="D348" s="1"/>
    </row>
    <row r="349" ht="15.75" customHeight="1">
      <c r="A349" s="1"/>
      <c r="B349" s="1"/>
      <c r="C349" s="1"/>
      <c r="D349" s="1"/>
    </row>
    <row r="350" ht="15.75" customHeight="1">
      <c r="A350" s="1"/>
      <c r="B350" s="1"/>
      <c r="C350" s="1"/>
      <c r="D350" s="1"/>
    </row>
    <row r="351" ht="15.75" customHeight="1">
      <c r="A351" s="1"/>
      <c r="B351" s="1"/>
      <c r="C351" s="1"/>
      <c r="D351" s="1"/>
    </row>
    <row r="352" ht="15.75" customHeight="1">
      <c r="A352" s="1"/>
      <c r="B352" s="1"/>
      <c r="C352" s="1"/>
      <c r="D352" s="1"/>
    </row>
    <row r="353" ht="15.75" customHeight="1">
      <c r="A353" s="1"/>
      <c r="B353" s="1"/>
      <c r="C353" s="1"/>
      <c r="D353" s="1"/>
    </row>
    <row r="354" ht="15.75" customHeight="1">
      <c r="A354" s="1"/>
      <c r="B354" s="1"/>
      <c r="C354" s="1"/>
      <c r="D354" s="1"/>
    </row>
    <row r="355" ht="15.75" customHeight="1">
      <c r="A355" s="1"/>
      <c r="B355" s="1"/>
      <c r="C355" s="1"/>
      <c r="D355" s="1"/>
    </row>
    <row r="356" ht="15.75" customHeight="1">
      <c r="A356" s="1"/>
      <c r="B356" s="1"/>
      <c r="C356" s="1"/>
      <c r="D356" s="1"/>
    </row>
    <row r="357" ht="15.75" customHeight="1">
      <c r="A357" s="1"/>
      <c r="B357" s="1"/>
      <c r="C357" s="1"/>
      <c r="D357" s="1"/>
    </row>
    <row r="358" ht="15.75" customHeight="1">
      <c r="A358" s="1"/>
      <c r="B358" s="1"/>
      <c r="C358" s="1"/>
      <c r="D358" s="1"/>
    </row>
    <row r="359" ht="15.75" customHeight="1">
      <c r="A359" s="1"/>
      <c r="B359" s="1"/>
      <c r="C359" s="1"/>
      <c r="D359" s="1"/>
    </row>
    <row r="360" ht="15.75" customHeight="1">
      <c r="A360" s="1"/>
      <c r="B360" s="1"/>
      <c r="C360" s="1"/>
      <c r="D360" s="1"/>
    </row>
    <row r="361" ht="15.75" customHeight="1">
      <c r="A361" s="1"/>
      <c r="B361" s="1"/>
      <c r="C361" s="1"/>
      <c r="D361" s="1"/>
    </row>
    <row r="362" ht="15.75" customHeight="1">
      <c r="A362" s="1"/>
      <c r="B362" s="1"/>
      <c r="C362" s="1"/>
      <c r="D362" s="1"/>
    </row>
    <row r="363" ht="15.75" customHeight="1">
      <c r="A363" s="1"/>
      <c r="B363" s="1"/>
      <c r="C363" s="1"/>
      <c r="D363" s="1"/>
    </row>
    <row r="364" ht="15.75" customHeight="1">
      <c r="A364" s="1"/>
      <c r="B364" s="1"/>
      <c r="C364" s="1"/>
      <c r="D364" s="1"/>
    </row>
    <row r="365" ht="15.75" customHeight="1">
      <c r="A365" s="1"/>
      <c r="B365" s="1"/>
      <c r="C365" s="1"/>
      <c r="D365" s="1"/>
    </row>
    <row r="366" ht="15.75" customHeight="1">
      <c r="A366" s="1"/>
      <c r="B366" s="1"/>
      <c r="C366" s="1"/>
      <c r="D366" s="1"/>
    </row>
    <row r="367" ht="15.75" customHeight="1">
      <c r="A367" s="1"/>
      <c r="B367" s="1"/>
      <c r="C367" s="1"/>
      <c r="D367" s="1"/>
    </row>
    <row r="368" ht="15.75" customHeight="1">
      <c r="A368" s="1"/>
      <c r="B368" s="1"/>
      <c r="C368" s="1"/>
      <c r="D368" s="1"/>
    </row>
    <row r="369" ht="15.75" customHeight="1">
      <c r="A369" s="1"/>
      <c r="B369" s="1"/>
      <c r="C369" s="1"/>
      <c r="D369" s="1"/>
    </row>
    <row r="370" ht="15.75" customHeight="1">
      <c r="A370" s="1"/>
      <c r="B370" s="1"/>
      <c r="C370" s="1"/>
      <c r="D370" s="1"/>
    </row>
    <row r="371" ht="15.75" customHeight="1">
      <c r="A371" s="1"/>
      <c r="B371" s="1"/>
      <c r="C371" s="1"/>
      <c r="D371" s="1"/>
    </row>
    <row r="372" ht="15.75" customHeight="1">
      <c r="A372" s="1"/>
      <c r="B372" s="1"/>
      <c r="C372" s="1"/>
      <c r="D372" s="1"/>
    </row>
    <row r="373" ht="15.75" customHeight="1">
      <c r="A373" s="1"/>
      <c r="B373" s="1"/>
      <c r="C373" s="1"/>
      <c r="D373" s="1"/>
    </row>
    <row r="374" ht="15.75" customHeight="1">
      <c r="A374" s="1"/>
      <c r="B374" s="1"/>
      <c r="C374" s="1"/>
      <c r="D374" s="1"/>
    </row>
    <row r="375" ht="15.75" customHeight="1">
      <c r="A375" s="1"/>
      <c r="B375" s="1"/>
      <c r="C375" s="1"/>
      <c r="D375" s="1"/>
    </row>
    <row r="376" ht="15.75" customHeight="1">
      <c r="A376" s="1"/>
      <c r="B376" s="1"/>
      <c r="C376" s="1"/>
      <c r="D376" s="1"/>
    </row>
    <row r="377" ht="15.75" customHeight="1">
      <c r="A377" s="1"/>
      <c r="B377" s="1"/>
      <c r="C377" s="1"/>
      <c r="D377" s="1"/>
    </row>
    <row r="378" ht="15.75" customHeight="1">
      <c r="A378" s="1"/>
      <c r="B378" s="1"/>
      <c r="C378" s="1"/>
      <c r="D378" s="1"/>
    </row>
    <row r="379" ht="15.75" customHeight="1">
      <c r="A379" s="1"/>
      <c r="B379" s="1"/>
      <c r="C379" s="1"/>
      <c r="D379" s="1"/>
    </row>
    <row r="380" ht="15.75" customHeight="1">
      <c r="A380" s="1"/>
      <c r="B380" s="1"/>
      <c r="C380" s="1"/>
      <c r="D380" s="1"/>
    </row>
    <row r="381" ht="15.75" customHeight="1">
      <c r="A381" s="1"/>
      <c r="B381" s="1"/>
      <c r="C381" s="1"/>
      <c r="D381" s="1"/>
    </row>
    <row r="382" ht="15.75" customHeight="1">
      <c r="A382" s="1"/>
      <c r="B382" s="1"/>
      <c r="C382" s="1"/>
      <c r="D382" s="1"/>
    </row>
    <row r="383" ht="15.75" customHeight="1">
      <c r="A383" s="1"/>
      <c r="B383" s="1"/>
      <c r="C383" s="1"/>
      <c r="D383" s="1"/>
    </row>
    <row r="384" ht="15.75" customHeight="1">
      <c r="A384" s="1"/>
      <c r="B384" s="1"/>
      <c r="C384" s="1"/>
      <c r="D384" s="1"/>
    </row>
    <row r="385" ht="15.75" customHeight="1">
      <c r="A385" s="1"/>
      <c r="B385" s="1"/>
      <c r="C385" s="1"/>
      <c r="D385" s="1"/>
    </row>
    <row r="386" ht="15.75" customHeight="1">
      <c r="A386" s="1"/>
      <c r="B386" s="1"/>
      <c r="C386" s="1"/>
      <c r="D386" s="1"/>
    </row>
    <row r="387" ht="15.75" customHeight="1">
      <c r="A387" s="1"/>
      <c r="B387" s="1"/>
      <c r="C387" s="1"/>
      <c r="D387" s="1"/>
    </row>
    <row r="388" ht="15.75" customHeight="1">
      <c r="A388" s="1"/>
      <c r="B388" s="1"/>
      <c r="C388" s="1"/>
      <c r="D388" s="1"/>
    </row>
    <row r="389" ht="15.75" customHeight="1">
      <c r="A389" s="1"/>
      <c r="B389" s="1"/>
      <c r="C389" s="1"/>
      <c r="D389" s="1"/>
    </row>
    <row r="390" ht="15.75" customHeight="1">
      <c r="A390" s="1"/>
      <c r="B390" s="1"/>
      <c r="C390" s="1"/>
      <c r="D390" s="1"/>
    </row>
    <row r="391" ht="15.75" customHeight="1">
      <c r="A391" s="1"/>
      <c r="B391" s="1"/>
      <c r="C391" s="1"/>
      <c r="D391" s="1"/>
    </row>
    <row r="392" ht="15.75" customHeight="1">
      <c r="A392" s="1"/>
      <c r="B392" s="1"/>
      <c r="C392" s="1"/>
      <c r="D392" s="1"/>
    </row>
    <row r="393" ht="15.75" customHeight="1">
      <c r="A393" s="1"/>
      <c r="B393" s="1"/>
      <c r="C393" s="1"/>
      <c r="D393" s="1"/>
    </row>
    <row r="394" ht="15.75" customHeight="1">
      <c r="A394" s="1"/>
      <c r="B394" s="1"/>
      <c r="C394" s="1"/>
      <c r="D394" s="1"/>
    </row>
    <row r="395" ht="15.75" customHeight="1">
      <c r="A395" s="1"/>
      <c r="B395" s="1"/>
      <c r="C395" s="1"/>
      <c r="D395" s="1"/>
    </row>
    <row r="396" ht="15.75" customHeight="1">
      <c r="A396" s="1"/>
      <c r="B396" s="1"/>
      <c r="C396" s="1"/>
      <c r="D396" s="1"/>
    </row>
    <row r="397" ht="15.75" customHeight="1">
      <c r="A397" s="1"/>
      <c r="B397" s="1"/>
      <c r="C397" s="1"/>
      <c r="D397" s="1"/>
    </row>
    <row r="398" ht="15.75" customHeight="1">
      <c r="A398" s="1"/>
      <c r="B398" s="1"/>
      <c r="C398" s="1"/>
      <c r="D398" s="1"/>
    </row>
    <row r="399" ht="15.75" customHeight="1">
      <c r="A399" s="1"/>
      <c r="B399" s="1"/>
      <c r="C399" s="1"/>
      <c r="D399" s="1"/>
    </row>
    <row r="400" ht="15.75" customHeight="1">
      <c r="A400" s="1"/>
      <c r="B400" s="1"/>
      <c r="C400" s="1"/>
      <c r="D400" s="1"/>
    </row>
    <row r="401" ht="15.75" customHeight="1">
      <c r="A401" s="1"/>
      <c r="B401" s="1"/>
      <c r="C401" s="1"/>
      <c r="D401" s="1"/>
    </row>
    <row r="402" ht="15.75" customHeight="1">
      <c r="A402" s="1"/>
      <c r="B402" s="1"/>
      <c r="C402" s="1"/>
      <c r="D402" s="1"/>
    </row>
    <row r="403" ht="15.75" customHeight="1">
      <c r="A403" s="1"/>
      <c r="B403" s="1"/>
      <c r="C403" s="1"/>
      <c r="D403" s="1"/>
    </row>
    <row r="404" ht="15.75" customHeight="1">
      <c r="A404" s="1"/>
      <c r="B404" s="1"/>
      <c r="C404" s="1"/>
      <c r="D404" s="1"/>
    </row>
    <row r="405" ht="15.75" customHeight="1">
      <c r="A405" s="1"/>
      <c r="B405" s="1"/>
      <c r="C405" s="1"/>
      <c r="D405" s="1"/>
    </row>
    <row r="406" ht="15.75" customHeight="1">
      <c r="A406" s="1"/>
      <c r="B406" s="1"/>
      <c r="C406" s="1"/>
      <c r="D406" s="1"/>
    </row>
    <row r="407" ht="15.75" customHeight="1">
      <c r="A407" s="1"/>
      <c r="B407" s="1"/>
      <c r="C407" s="1"/>
      <c r="D407" s="1"/>
    </row>
    <row r="408" ht="15.75" customHeight="1">
      <c r="A408" s="1"/>
      <c r="B408" s="1"/>
      <c r="C408" s="1"/>
      <c r="D408" s="1"/>
    </row>
    <row r="409" ht="15.75" customHeight="1">
      <c r="A409" s="1"/>
      <c r="B409" s="1"/>
      <c r="C409" s="1"/>
      <c r="D409" s="1"/>
    </row>
    <row r="410" ht="15.75" customHeight="1">
      <c r="A410" s="1"/>
      <c r="B410" s="1"/>
      <c r="C410" s="1"/>
      <c r="D410" s="1"/>
    </row>
    <row r="411" ht="15.75" customHeight="1">
      <c r="A411" s="1"/>
      <c r="B411" s="1"/>
      <c r="C411" s="1"/>
      <c r="D411" s="1"/>
    </row>
    <row r="412" ht="15.75" customHeight="1">
      <c r="A412" s="1"/>
      <c r="B412" s="1"/>
      <c r="C412" s="1"/>
      <c r="D412" s="1"/>
    </row>
    <row r="413" ht="15.75" customHeight="1">
      <c r="A413" s="1"/>
      <c r="B413" s="1"/>
      <c r="C413" s="1"/>
      <c r="D413" s="1"/>
    </row>
    <row r="414" ht="15.75" customHeight="1">
      <c r="A414" s="1"/>
      <c r="B414" s="1"/>
      <c r="C414" s="1"/>
      <c r="D414" s="1"/>
    </row>
    <row r="415" ht="15.75" customHeight="1">
      <c r="A415" s="1"/>
      <c r="B415" s="1"/>
      <c r="C415" s="1"/>
      <c r="D415" s="1"/>
    </row>
    <row r="416" ht="15.75" customHeight="1">
      <c r="A416" s="1"/>
      <c r="B416" s="1"/>
      <c r="C416" s="1"/>
      <c r="D416" s="1"/>
    </row>
    <row r="417" ht="15.75" customHeight="1">
      <c r="A417" s="1"/>
      <c r="B417" s="1"/>
      <c r="C417" s="1"/>
      <c r="D417" s="1"/>
    </row>
    <row r="418" ht="15.75" customHeight="1">
      <c r="A418" s="1"/>
      <c r="B418" s="1"/>
      <c r="C418" s="1"/>
      <c r="D418" s="1"/>
    </row>
    <row r="419" ht="15.75" customHeight="1">
      <c r="A419" s="1"/>
      <c r="B419" s="1"/>
      <c r="C419" s="1"/>
      <c r="D419" s="1"/>
    </row>
    <row r="420" ht="15.75" customHeight="1">
      <c r="A420" s="1"/>
      <c r="B420" s="1"/>
      <c r="C420" s="1"/>
      <c r="D420" s="1"/>
    </row>
    <row r="421" ht="15.75" customHeight="1">
      <c r="A421" s="1"/>
      <c r="B421" s="1"/>
      <c r="C421" s="1"/>
      <c r="D421" s="1"/>
    </row>
    <row r="422" ht="15.75" customHeight="1">
      <c r="A422" s="1"/>
      <c r="B422" s="1"/>
      <c r="C422" s="1"/>
      <c r="D422" s="1"/>
    </row>
    <row r="423" ht="15.75" customHeight="1">
      <c r="A423" s="1"/>
      <c r="B423" s="1"/>
      <c r="C423" s="1"/>
      <c r="D423" s="1"/>
    </row>
    <row r="424" ht="15.75" customHeight="1">
      <c r="A424" s="1"/>
      <c r="B424" s="1"/>
      <c r="C424" s="1"/>
      <c r="D424" s="1"/>
    </row>
    <row r="425" ht="15.75" customHeight="1">
      <c r="A425" s="1"/>
      <c r="B425" s="1"/>
      <c r="C425" s="1"/>
      <c r="D425" s="1"/>
    </row>
    <row r="426" ht="15.75" customHeight="1">
      <c r="A426" s="1"/>
      <c r="B426" s="1"/>
      <c r="C426" s="1"/>
      <c r="D426" s="1"/>
    </row>
    <row r="427" ht="15.75" customHeight="1">
      <c r="A427" s="1"/>
      <c r="B427" s="1"/>
      <c r="C427" s="1"/>
      <c r="D427" s="1"/>
    </row>
    <row r="428" ht="15.75" customHeight="1">
      <c r="A428" s="1"/>
      <c r="B428" s="1"/>
      <c r="C428" s="1"/>
      <c r="D428" s="1"/>
    </row>
    <row r="429" ht="15.75" customHeight="1">
      <c r="A429" s="1"/>
      <c r="B429" s="1"/>
      <c r="C429" s="1"/>
      <c r="D429" s="1"/>
    </row>
    <row r="430" ht="15.75" customHeight="1">
      <c r="A430" s="1"/>
      <c r="B430" s="1"/>
      <c r="C430" s="1"/>
      <c r="D430" s="1"/>
    </row>
    <row r="431" ht="15.75" customHeight="1">
      <c r="A431" s="1"/>
      <c r="B431" s="1"/>
      <c r="C431" s="1"/>
      <c r="D431" s="1"/>
    </row>
    <row r="432" ht="15.75" customHeight="1">
      <c r="A432" s="1"/>
      <c r="B432" s="1"/>
      <c r="C432" s="1"/>
      <c r="D432" s="1"/>
    </row>
    <row r="433" ht="15.75" customHeight="1">
      <c r="A433" s="1"/>
      <c r="B433" s="1"/>
      <c r="C433" s="1"/>
      <c r="D433" s="1"/>
    </row>
    <row r="434" ht="15.75" customHeight="1">
      <c r="A434" s="1"/>
      <c r="B434" s="1"/>
      <c r="C434" s="1"/>
      <c r="D434" s="1"/>
    </row>
    <row r="435" ht="15.75" customHeight="1">
      <c r="A435" s="1"/>
      <c r="B435" s="1"/>
      <c r="C435" s="1"/>
      <c r="D435" s="1"/>
    </row>
    <row r="436" ht="15.75" customHeight="1">
      <c r="A436" s="1"/>
      <c r="B436" s="1"/>
      <c r="C436" s="1"/>
      <c r="D436" s="1"/>
    </row>
    <row r="437" ht="15.75" customHeight="1">
      <c r="A437" s="1"/>
      <c r="B437" s="1"/>
      <c r="C437" s="1"/>
      <c r="D437" s="1"/>
    </row>
    <row r="438" ht="15.75" customHeight="1">
      <c r="A438" s="1"/>
      <c r="B438" s="1"/>
      <c r="C438" s="1"/>
      <c r="D438" s="1"/>
    </row>
    <row r="439" ht="15.75" customHeight="1">
      <c r="A439" s="1"/>
      <c r="B439" s="1"/>
      <c r="C439" s="1"/>
      <c r="D439" s="1"/>
    </row>
    <row r="440" ht="15.75" customHeight="1">
      <c r="A440" s="1"/>
      <c r="B440" s="1"/>
      <c r="C440" s="1"/>
      <c r="D440" s="1"/>
    </row>
    <row r="441" ht="15.75" customHeight="1">
      <c r="A441" s="1"/>
      <c r="B441" s="1"/>
      <c r="C441" s="1"/>
      <c r="D441" s="1"/>
    </row>
    <row r="442" ht="15.75" customHeight="1">
      <c r="A442" s="1"/>
      <c r="B442" s="1"/>
      <c r="C442" s="1"/>
      <c r="D442" s="1"/>
    </row>
    <row r="443" ht="15.75" customHeight="1">
      <c r="A443" s="1"/>
      <c r="B443" s="1"/>
      <c r="C443" s="1"/>
      <c r="D443" s="1"/>
    </row>
    <row r="444" ht="15.75" customHeight="1">
      <c r="A444" s="1"/>
      <c r="B444" s="1"/>
      <c r="C444" s="1"/>
      <c r="D444" s="1"/>
    </row>
    <row r="445" ht="15.75" customHeight="1">
      <c r="A445" s="1"/>
      <c r="B445" s="1"/>
      <c r="C445" s="1"/>
      <c r="D445" s="1"/>
    </row>
    <row r="446" ht="15.75" customHeight="1">
      <c r="A446" s="1"/>
      <c r="B446" s="1"/>
      <c r="C446" s="1"/>
      <c r="D446" s="1"/>
    </row>
    <row r="447" ht="15.75" customHeight="1">
      <c r="A447" s="1"/>
      <c r="B447" s="1"/>
      <c r="C447" s="1"/>
      <c r="D447" s="1"/>
    </row>
    <row r="448" ht="15.75" customHeight="1">
      <c r="A448" s="1"/>
      <c r="B448" s="1"/>
      <c r="C448" s="1"/>
      <c r="D448" s="1"/>
    </row>
    <row r="449" ht="15.75" customHeight="1">
      <c r="A449" s="1"/>
      <c r="B449" s="1"/>
      <c r="C449" s="1"/>
      <c r="D449" s="1"/>
    </row>
    <row r="450" ht="15.75" customHeight="1">
      <c r="A450" s="1"/>
      <c r="B450" s="1"/>
      <c r="C450" s="1"/>
      <c r="D450" s="1"/>
    </row>
    <row r="451" ht="15.75" customHeight="1">
      <c r="A451" s="1"/>
      <c r="B451" s="1"/>
      <c r="C451" s="1"/>
      <c r="D451" s="1"/>
    </row>
    <row r="452" ht="15.75" customHeight="1">
      <c r="A452" s="1"/>
      <c r="B452" s="1"/>
      <c r="C452" s="1"/>
      <c r="D452" s="1"/>
    </row>
    <row r="453" ht="15.75" customHeight="1">
      <c r="A453" s="1"/>
      <c r="B453" s="1"/>
      <c r="C453" s="1"/>
      <c r="D453" s="1"/>
    </row>
    <row r="454" ht="15.75" customHeight="1">
      <c r="A454" s="1"/>
      <c r="B454" s="1"/>
      <c r="C454" s="1"/>
      <c r="D454" s="1"/>
    </row>
    <row r="455" ht="15.75" customHeight="1">
      <c r="A455" s="1"/>
      <c r="B455" s="1"/>
      <c r="C455" s="1"/>
      <c r="D455" s="1"/>
    </row>
    <row r="456" ht="15.75" customHeight="1">
      <c r="A456" s="1"/>
      <c r="B456" s="1"/>
      <c r="C456" s="1"/>
      <c r="D456" s="1"/>
    </row>
    <row r="457" ht="15.75" customHeight="1">
      <c r="A457" s="1"/>
      <c r="B457" s="1"/>
      <c r="C457" s="1"/>
      <c r="D457" s="1"/>
    </row>
    <row r="458" ht="15.75" customHeight="1">
      <c r="A458" s="1"/>
      <c r="B458" s="1"/>
      <c r="C458" s="1"/>
      <c r="D458" s="1"/>
    </row>
    <row r="459" ht="15.75" customHeight="1">
      <c r="A459" s="1"/>
      <c r="B459" s="1"/>
      <c r="C459" s="1"/>
      <c r="D459" s="1"/>
    </row>
    <row r="460" ht="15.75" customHeight="1">
      <c r="A460" s="1"/>
      <c r="B460" s="1"/>
      <c r="C460" s="1"/>
      <c r="D460" s="1"/>
    </row>
    <row r="461" ht="15.75" customHeight="1">
      <c r="A461" s="1"/>
      <c r="B461" s="1"/>
      <c r="C461" s="1"/>
      <c r="D461" s="1"/>
    </row>
    <row r="462" ht="15.75" customHeight="1">
      <c r="A462" s="1"/>
      <c r="B462" s="1"/>
      <c r="C462" s="1"/>
      <c r="D462" s="1"/>
    </row>
    <row r="463" ht="15.75" customHeight="1">
      <c r="A463" s="1"/>
      <c r="B463" s="1"/>
      <c r="C463" s="1"/>
      <c r="D463" s="1"/>
    </row>
    <row r="464" ht="15.75" customHeight="1">
      <c r="A464" s="1"/>
      <c r="B464" s="1"/>
      <c r="C464" s="1"/>
      <c r="D464" s="1"/>
    </row>
    <row r="465" ht="15.75" customHeight="1">
      <c r="A465" s="1"/>
      <c r="B465" s="1"/>
      <c r="C465" s="1"/>
      <c r="D465" s="1"/>
    </row>
    <row r="466" ht="15.75" customHeight="1">
      <c r="A466" s="1"/>
      <c r="B466" s="1"/>
      <c r="C466" s="1"/>
      <c r="D466" s="1"/>
    </row>
    <row r="467" ht="15.75" customHeight="1">
      <c r="A467" s="1"/>
      <c r="B467" s="1"/>
      <c r="C467" s="1"/>
      <c r="D467" s="1"/>
    </row>
    <row r="468" ht="15.75" customHeight="1">
      <c r="A468" s="1"/>
      <c r="B468" s="1"/>
      <c r="C468" s="1"/>
      <c r="D468" s="1"/>
    </row>
    <row r="469" ht="15.75" customHeight="1">
      <c r="A469" s="1"/>
      <c r="B469" s="1"/>
      <c r="C469" s="1"/>
      <c r="D469" s="1"/>
    </row>
    <row r="470" ht="15.75" customHeight="1">
      <c r="A470" s="1"/>
      <c r="B470" s="1"/>
      <c r="C470" s="1"/>
      <c r="D470" s="1"/>
    </row>
    <row r="471" ht="15.75" customHeight="1">
      <c r="A471" s="1"/>
      <c r="B471" s="1"/>
      <c r="C471" s="1"/>
      <c r="D471" s="1"/>
    </row>
    <row r="472" ht="15.75" customHeight="1">
      <c r="A472" s="1"/>
      <c r="B472" s="1"/>
      <c r="C472" s="1"/>
      <c r="D472" s="1"/>
    </row>
    <row r="473" ht="15.75" customHeight="1">
      <c r="A473" s="1"/>
      <c r="B473" s="1"/>
      <c r="C473" s="1"/>
      <c r="D473" s="1"/>
    </row>
    <row r="474" ht="15.75" customHeight="1">
      <c r="A474" s="1"/>
      <c r="B474" s="1"/>
      <c r="C474" s="1"/>
      <c r="D474" s="1"/>
    </row>
    <row r="475" ht="15.75" customHeight="1">
      <c r="A475" s="1"/>
      <c r="B475" s="1"/>
      <c r="C475" s="1"/>
      <c r="D475" s="1"/>
    </row>
    <row r="476" ht="15.75" customHeight="1">
      <c r="A476" s="1"/>
      <c r="B476" s="1"/>
      <c r="C476" s="1"/>
      <c r="D476" s="1"/>
    </row>
    <row r="477" ht="15.75" customHeight="1">
      <c r="A477" s="1"/>
      <c r="B477" s="1"/>
      <c r="C477" s="1"/>
      <c r="D477" s="1"/>
    </row>
    <row r="478" ht="15.75" customHeight="1">
      <c r="A478" s="1"/>
      <c r="B478" s="1"/>
      <c r="C478" s="1"/>
      <c r="D478" s="1"/>
    </row>
    <row r="479" ht="15.75" customHeight="1">
      <c r="A479" s="1"/>
      <c r="B479" s="1"/>
      <c r="C479" s="1"/>
      <c r="D479" s="1"/>
    </row>
    <row r="480" ht="15.75" customHeight="1">
      <c r="A480" s="1"/>
      <c r="B480" s="1"/>
      <c r="C480" s="1"/>
      <c r="D480" s="1"/>
    </row>
    <row r="481" ht="15.75" customHeight="1">
      <c r="A481" s="1"/>
      <c r="B481" s="1"/>
      <c r="C481" s="1"/>
      <c r="D481" s="1"/>
    </row>
    <row r="482" ht="15.75" customHeight="1">
      <c r="A482" s="1"/>
      <c r="B482" s="1"/>
      <c r="C482" s="1"/>
      <c r="D482" s="1"/>
    </row>
    <row r="483" ht="15.75" customHeight="1">
      <c r="A483" s="1"/>
      <c r="B483" s="1"/>
      <c r="C483" s="1"/>
      <c r="D483" s="1"/>
    </row>
    <row r="484" ht="15.75" customHeight="1">
      <c r="A484" s="1"/>
      <c r="B484" s="1"/>
      <c r="C484" s="1"/>
      <c r="D484" s="1"/>
    </row>
    <row r="485" ht="15.75" customHeight="1">
      <c r="A485" s="1"/>
      <c r="B485" s="1"/>
      <c r="C485" s="1"/>
      <c r="D485" s="1"/>
    </row>
    <row r="486" ht="15.75" customHeight="1">
      <c r="A486" s="1"/>
      <c r="B486" s="1"/>
      <c r="C486" s="1"/>
      <c r="D486" s="1"/>
    </row>
    <row r="487" ht="15.75" customHeight="1">
      <c r="A487" s="1"/>
      <c r="B487" s="1"/>
      <c r="C487" s="1"/>
      <c r="D487" s="1"/>
    </row>
    <row r="488" ht="15.75" customHeight="1">
      <c r="A488" s="1"/>
      <c r="B488" s="1"/>
      <c r="C488" s="1"/>
      <c r="D488" s="1"/>
    </row>
    <row r="489" ht="15.75" customHeight="1">
      <c r="A489" s="1"/>
      <c r="B489" s="1"/>
      <c r="C489" s="1"/>
      <c r="D489" s="1"/>
    </row>
    <row r="490" ht="15.75" customHeight="1">
      <c r="A490" s="1"/>
      <c r="B490" s="1"/>
      <c r="C490" s="1"/>
      <c r="D490" s="1"/>
    </row>
    <row r="491" ht="15.75" customHeight="1">
      <c r="A491" s="1"/>
      <c r="B491" s="1"/>
      <c r="C491" s="1"/>
      <c r="D491" s="1"/>
    </row>
    <row r="492" ht="15.75" customHeight="1">
      <c r="A492" s="1"/>
      <c r="B492" s="1"/>
      <c r="C492" s="1"/>
      <c r="D492" s="1"/>
    </row>
    <row r="493" ht="15.75" customHeight="1">
      <c r="A493" s="1"/>
      <c r="B493" s="1"/>
      <c r="C493" s="1"/>
      <c r="D493" s="1"/>
    </row>
    <row r="494" ht="15.75" customHeight="1">
      <c r="A494" s="1"/>
      <c r="B494" s="1"/>
      <c r="C494" s="1"/>
      <c r="D494" s="1"/>
    </row>
    <row r="495" ht="15.75" customHeight="1">
      <c r="A495" s="1"/>
      <c r="B495" s="1"/>
      <c r="C495" s="1"/>
      <c r="D495" s="1"/>
    </row>
    <row r="496" ht="15.75" customHeight="1">
      <c r="A496" s="1"/>
      <c r="B496" s="1"/>
      <c r="C496" s="1"/>
      <c r="D496" s="1"/>
    </row>
    <row r="497" ht="15.75" customHeight="1">
      <c r="A497" s="1"/>
      <c r="B497" s="1"/>
      <c r="C497" s="1"/>
      <c r="D497" s="1"/>
    </row>
    <row r="498" ht="15.75" customHeight="1">
      <c r="A498" s="1"/>
      <c r="B498" s="1"/>
      <c r="C498" s="1"/>
      <c r="D498" s="1"/>
    </row>
    <row r="499" ht="15.75" customHeight="1">
      <c r="A499" s="1"/>
      <c r="B499" s="1"/>
      <c r="C499" s="1"/>
      <c r="D499" s="1"/>
    </row>
    <row r="500" ht="15.75" customHeight="1">
      <c r="A500" s="1"/>
      <c r="B500" s="1"/>
      <c r="C500" s="1"/>
      <c r="D500" s="1"/>
    </row>
    <row r="501" ht="15.75" customHeight="1">
      <c r="A501" s="1"/>
      <c r="B501" s="1"/>
      <c r="C501" s="1"/>
      <c r="D501" s="1"/>
    </row>
    <row r="502" ht="15.75" customHeight="1">
      <c r="A502" s="1"/>
      <c r="B502" s="1"/>
      <c r="C502" s="1"/>
      <c r="D502" s="1"/>
    </row>
    <row r="503" ht="15.75" customHeight="1">
      <c r="A503" s="1"/>
      <c r="B503" s="1"/>
      <c r="C503" s="1"/>
      <c r="D503" s="1"/>
    </row>
    <row r="504" ht="15.75" customHeight="1">
      <c r="A504" s="1"/>
      <c r="B504" s="1"/>
      <c r="C504" s="1"/>
      <c r="D504" s="1"/>
    </row>
    <row r="505" ht="15.75" customHeight="1">
      <c r="A505" s="1"/>
      <c r="B505" s="1"/>
      <c r="C505" s="1"/>
      <c r="D505" s="1"/>
    </row>
    <row r="506" ht="15.75" customHeight="1">
      <c r="A506" s="1"/>
      <c r="B506" s="1"/>
      <c r="C506" s="1"/>
      <c r="D506" s="1"/>
    </row>
    <row r="507" ht="15.75" customHeight="1">
      <c r="A507" s="1"/>
      <c r="B507" s="1"/>
      <c r="C507" s="1"/>
      <c r="D507" s="1"/>
    </row>
    <row r="508" ht="15.75" customHeight="1">
      <c r="A508" s="1"/>
      <c r="B508" s="1"/>
      <c r="C508" s="1"/>
      <c r="D508" s="1"/>
    </row>
    <row r="509" ht="15.75" customHeight="1">
      <c r="A509" s="1"/>
      <c r="B509" s="1"/>
      <c r="C509" s="1"/>
      <c r="D509" s="1"/>
    </row>
    <row r="510" ht="15.75" customHeight="1">
      <c r="A510" s="1"/>
      <c r="B510" s="1"/>
      <c r="C510" s="1"/>
      <c r="D510" s="1"/>
    </row>
    <row r="511" ht="15.75" customHeight="1">
      <c r="A511" s="1"/>
      <c r="B511" s="1"/>
      <c r="C511" s="1"/>
      <c r="D511" s="1"/>
    </row>
    <row r="512" ht="15.75" customHeight="1">
      <c r="A512" s="1"/>
      <c r="B512" s="1"/>
      <c r="C512" s="1"/>
      <c r="D512" s="1"/>
    </row>
    <row r="513" ht="15.75" customHeight="1">
      <c r="A513" s="1"/>
      <c r="B513" s="1"/>
      <c r="C513" s="1"/>
      <c r="D513" s="1"/>
    </row>
    <row r="514" ht="15.75" customHeight="1">
      <c r="A514" s="1"/>
      <c r="B514" s="1"/>
      <c r="C514" s="1"/>
      <c r="D514" s="1"/>
    </row>
    <row r="515" ht="15.75" customHeight="1">
      <c r="A515" s="1"/>
      <c r="B515" s="1"/>
      <c r="C515" s="1"/>
      <c r="D515" s="1"/>
    </row>
    <row r="516" ht="15.75" customHeight="1">
      <c r="A516" s="1"/>
      <c r="B516" s="1"/>
      <c r="C516" s="1"/>
      <c r="D516" s="1"/>
    </row>
    <row r="517" ht="15.75" customHeight="1">
      <c r="A517" s="1"/>
      <c r="B517" s="1"/>
      <c r="C517" s="1"/>
      <c r="D517" s="1"/>
    </row>
    <row r="518" ht="15.75" customHeight="1">
      <c r="A518" s="1"/>
      <c r="B518" s="1"/>
      <c r="C518" s="1"/>
      <c r="D518" s="1"/>
    </row>
    <row r="519" ht="15.75" customHeight="1">
      <c r="A519" s="1"/>
      <c r="B519" s="1"/>
      <c r="C519" s="1"/>
      <c r="D519" s="1"/>
    </row>
    <row r="520" ht="15.75" customHeight="1">
      <c r="A520" s="1"/>
      <c r="B520" s="1"/>
      <c r="C520" s="1"/>
      <c r="D520" s="1"/>
    </row>
    <row r="521" ht="15.75" customHeight="1">
      <c r="A521" s="1"/>
      <c r="B521" s="1"/>
      <c r="C521" s="1"/>
      <c r="D521" s="1"/>
    </row>
    <row r="522" ht="15.75" customHeight="1">
      <c r="A522" s="1"/>
      <c r="B522" s="1"/>
      <c r="C522" s="1"/>
      <c r="D522" s="1"/>
    </row>
    <row r="523" ht="15.75" customHeight="1">
      <c r="A523" s="1"/>
      <c r="B523" s="1"/>
      <c r="C523" s="1"/>
      <c r="D523" s="1"/>
    </row>
    <row r="524" ht="15.75" customHeight="1">
      <c r="A524" s="1"/>
      <c r="B524" s="1"/>
      <c r="C524" s="1"/>
      <c r="D524" s="1"/>
    </row>
    <row r="525" ht="15.75" customHeight="1">
      <c r="A525" s="1"/>
      <c r="B525" s="1"/>
      <c r="C525" s="1"/>
      <c r="D525" s="1"/>
    </row>
    <row r="526" ht="15.75" customHeight="1">
      <c r="A526" s="1"/>
      <c r="B526" s="1"/>
      <c r="C526" s="1"/>
      <c r="D526" s="1"/>
    </row>
    <row r="527" ht="15.75" customHeight="1">
      <c r="A527" s="1"/>
      <c r="B527" s="1"/>
      <c r="C527" s="1"/>
      <c r="D527" s="1"/>
    </row>
    <row r="528" ht="15.75" customHeight="1">
      <c r="A528" s="1"/>
      <c r="B528" s="1"/>
      <c r="C528" s="1"/>
      <c r="D528" s="1"/>
    </row>
    <row r="529" ht="15.75" customHeight="1">
      <c r="A529" s="1"/>
      <c r="B529" s="1"/>
      <c r="C529" s="1"/>
      <c r="D529" s="1"/>
    </row>
    <row r="530" ht="15.75" customHeight="1">
      <c r="A530" s="1"/>
      <c r="B530" s="1"/>
      <c r="C530" s="1"/>
      <c r="D530" s="1"/>
    </row>
    <row r="531" ht="15.75" customHeight="1">
      <c r="A531" s="1"/>
      <c r="B531" s="1"/>
      <c r="C531" s="1"/>
      <c r="D531" s="1"/>
    </row>
    <row r="532" ht="15.75" customHeight="1">
      <c r="A532" s="1"/>
      <c r="B532" s="1"/>
      <c r="C532" s="1"/>
      <c r="D532" s="1"/>
    </row>
    <row r="533" ht="15.75" customHeight="1">
      <c r="A533" s="1"/>
      <c r="B533" s="1"/>
      <c r="C533" s="1"/>
      <c r="D533" s="1"/>
    </row>
    <row r="534" ht="15.75" customHeight="1">
      <c r="A534" s="1"/>
      <c r="B534" s="1"/>
      <c r="C534" s="1"/>
      <c r="D534" s="1"/>
    </row>
    <row r="535" ht="15.75" customHeight="1">
      <c r="A535" s="1"/>
      <c r="B535" s="1"/>
      <c r="C535" s="1"/>
      <c r="D535" s="1"/>
    </row>
    <row r="536" ht="15.75" customHeight="1">
      <c r="A536" s="1"/>
      <c r="B536" s="1"/>
      <c r="C536" s="1"/>
      <c r="D536" s="1"/>
    </row>
    <row r="537" ht="15.75" customHeight="1">
      <c r="A537" s="1"/>
      <c r="B537" s="1"/>
      <c r="C537" s="1"/>
      <c r="D537" s="1"/>
    </row>
    <row r="538" ht="15.75" customHeight="1">
      <c r="A538" s="1"/>
      <c r="B538" s="1"/>
      <c r="C538" s="1"/>
      <c r="D538" s="1"/>
    </row>
    <row r="539" ht="15.75" customHeight="1">
      <c r="A539" s="1"/>
      <c r="B539" s="1"/>
      <c r="C539" s="1"/>
      <c r="D539" s="1"/>
    </row>
    <row r="540" ht="15.75" customHeight="1">
      <c r="A540" s="1"/>
      <c r="B540" s="1"/>
      <c r="C540" s="1"/>
      <c r="D540" s="1"/>
    </row>
    <row r="541" ht="15.75" customHeight="1">
      <c r="A541" s="1"/>
      <c r="B541" s="1"/>
      <c r="C541" s="1"/>
      <c r="D541" s="1"/>
    </row>
    <row r="542" ht="15.75" customHeight="1">
      <c r="A542" s="1"/>
      <c r="B542" s="1"/>
      <c r="C542" s="1"/>
      <c r="D542" s="1"/>
    </row>
    <row r="543" ht="15.75" customHeight="1">
      <c r="A543" s="1"/>
      <c r="B543" s="1"/>
      <c r="C543" s="1"/>
      <c r="D543" s="1"/>
    </row>
    <row r="544" ht="15.75" customHeight="1">
      <c r="A544" s="1"/>
      <c r="B544" s="1"/>
      <c r="C544" s="1"/>
      <c r="D544" s="1"/>
    </row>
    <row r="545" ht="15.75" customHeight="1">
      <c r="A545" s="1"/>
      <c r="B545" s="1"/>
      <c r="C545" s="1"/>
      <c r="D545" s="1"/>
    </row>
    <row r="546" ht="15.75" customHeight="1">
      <c r="A546" s="1"/>
      <c r="B546" s="1"/>
      <c r="C546" s="1"/>
      <c r="D546" s="1"/>
    </row>
    <row r="547" ht="15.75" customHeight="1">
      <c r="A547" s="1"/>
      <c r="B547" s="1"/>
      <c r="C547" s="1"/>
      <c r="D547" s="1"/>
    </row>
    <row r="548" ht="15.75" customHeight="1">
      <c r="A548" s="1"/>
      <c r="B548" s="1"/>
      <c r="C548" s="1"/>
      <c r="D548" s="1"/>
    </row>
    <row r="549" ht="15.75" customHeight="1">
      <c r="A549" s="1"/>
      <c r="B549" s="1"/>
      <c r="C549" s="1"/>
      <c r="D549" s="1"/>
    </row>
    <row r="550" ht="15.75" customHeight="1">
      <c r="A550" s="1"/>
      <c r="B550" s="1"/>
      <c r="C550" s="1"/>
      <c r="D550" s="1"/>
    </row>
    <row r="551" ht="15.75" customHeight="1">
      <c r="A551" s="1"/>
      <c r="B551" s="1"/>
      <c r="C551" s="1"/>
      <c r="D551" s="1"/>
    </row>
    <row r="552" ht="15.75" customHeight="1">
      <c r="A552" s="1"/>
      <c r="B552" s="1"/>
      <c r="C552" s="1"/>
      <c r="D552" s="1"/>
    </row>
    <row r="553" ht="15.75" customHeight="1">
      <c r="A553" s="1"/>
      <c r="B553" s="1"/>
      <c r="C553" s="1"/>
      <c r="D553" s="1"/>
    </row>
    <row r="554" ht="15.75" customHeight="1">
      <c r="A554" s="1"/>
      <c r="B554" s="1"/>
      <c r="C554" s="1"/>
      <c r="D554" s="1"/>
    </row>
    <row r="555" ht="15.75" customHeight="1">
      <c r="A555" s="1"/>
      <c r="B555" s="1"/>
      <c r="C555" s="1"/>
      <c r="D555" s="1"/>
    </row>
    <row r="556" ht="15.75" customHeight="1">
      <c r="A556" s="1"/>
      <c r="B556" s="1"/>
      <c r="C556" s="1"/>
      <c r="D556" s="1"/>
    </row>
    <row r="557" ht="15.75" customHeight="1">
      <c r="A557" s="1"/>
      <c r="B557" s="1"/>
      <c r="C557" s="1"/>
      <c r="D557" s="1"/>
    </row>
    <row r="558" ht="15.75" customHeight="1">
      <c r="A558" s="1"/>
      <c r="B558" s="1"/>
      <c r="C558" s="1"/>
      <c r="D558" s="1"/>
    </row>
    <row r="559" ht="15.75" customHeight="1">
      <c r="A559" s="1"/>
      <c r="B559" s="1"/>
      <c r="C559" s="1"/>
      <c r="D559" s="1"/>
    </row>
    <row r="560" ht="15.75" customHeight="1">
      <c r="A560" s="1"/>
      <c r="B560" s="1"/>
      <c r="C560" s="1"/>
      <c r="D560" s="1"/>
    </row>
    <row r="561" ht="15.75" customHeight="1">
      <c r="A561" s="1"/>
      <c r="B561" s="1"/>
      <c r="C561" s="1"/>
      <c r="D561" s="1"/>
    </row>
    <row r="562" ht="15.75" customHeight="1">
      <c r="A562" s="1"/>
      <c r="B562" s="1"/>
      <c r="C562" s="1"/>
      <c r="D562" s="1"/>
    </row>
    <row r="563" ht="15.75" customHeight="1">
      <c r="A563" s="1"/>
      <c r="B563" s="1"/>
      <c r="C563" s="1"/>
      <c r="D563" s="1"/>
    </row>
    <row r="564" ht="15.75" customHeight="1">
      <c r="A564" s="1"/>
      <c r="B564" s="1"/>
      <c r="C564" s="1"/>
      <c r="D564" s="1"/>
    </row>
    <row r="565" ht="15.75" customHeight="1">
      <c r="A565" s="1"/>
      <c r="B565" s="1"/>
      <c r="C565" s="1"/>
      <c r="D565" s="1"/>
    </row>
    <row r="566" ht="15.75" customHeight="1">
      <c r="A566" s="1"/>
      <c r="B566" s="1"/>
      <c r="C566" s="1"/>
      <c r="D566" s="1"/>
    </row>
    <row r="567" ht="15.75" customHeight="1">
      <c r="A567" s="1"/>
      <c r="B567" s="1"/>
      <c r="C567" s="1"/>
      <c r="D567" s="1"/>
    </row>
    <row r="568" ht="15.75" customHeight="1">
      <c r="A568" s="1"/>
      <c r="B568" s="1"/>
      <c r="C568" s="1"/>
      <c r="D568" s="1"/>
    </row>
    <row r="569" ht="15.75" customHeight="1">
      <c r="A569" s="1"/>
      <c r="B569" s="1"/>
      <c r="C569" s="1"/>
      <c r="D569" s="1"/>
    </row>
    <row r="570" ht="15.75" customHeight="1">
      <c r="A570" s="1"/>
      <c r="B570" s="1"/>
      <c r="C570" s="1"/>
      <c r="D570" s="1"/>
    </row>
    <row r="571" ht="15.75" customHeight="1">
      <c r="A571" s="1"/>
      <c r="B571" s="1"/>
      <c r="C571" s="1"/>
      <c r="D571" s="1"/>
    </row>
    <row r="572" ht="15.75" customHeight="1">
      <c r="A572" s="1"/>
      <c r="B572" s="1"/>
      <c r="C572" s="1"/>
      <c r="D572" s="1"/>
    </row>
    <row r="573" ht="15.75" customHeight="1">
      <c r="A573" s="1"/>
      <c r="B573" s="1"/>
      <c r="C573" s="1"/>
      <c r="D573" s="1"/>
    </row>
    <row r="574" ht="15.75" customHeight="1">
      <c r="A574" s="1"/>
      <c r="B574" s="1"/>
      <c r="C574" s="1"/>
      <c r="D574" s="1"/>
    </row>
    <row r="575" ht="15.75" customHeight="1">
      <c r="A575" s="1"/>
      <c r="B575" s="1"/>
      <c r="C575" s="1"/>
      <c r="D575" s="1"/>
    </row>
    <row r="576" ht="15.75" customHeight="1">
      <c r="A576" s="1"/>
      <c r="B576" s="1"/>
      <c r="C576" s="1"/>
      <c r="D576" s="1"/>
    </row>
    <row r="577" ht="15.75" customHeight="1">
      <c r="A577" s="1"/>
      <c r="B577" s="1"/>
      <c r="C577" s="1"/>
      <c r="D577" s="1"/>
    </row>
    <row r="578" ht="15.75" customHeight="1">
      <c r="A578" s="1"/>
      <c r="B578" s="1"/>
      <c r="C578" s="1"/>
      <c r="D578" s="1"/>
    </row>
    <row r="579" ht="15.75" customHeight="1">
      <c r="A579" s="1"/>
      <c r="B579" s="1"/>
      <c r="C579" s="1"/>
      <c r="D579" s="1"/>
    </row>
    <row r="580" ht="15.75" customHeight="1">
      <c r="A580" s="1"/>
      <c r="B580" s="1"/>
      <c r="C580" s="1"/>
      <c r="D580" s="1"/>
    </row>
    <row r="581" ht="15.75" customHeight="1">
      <c r="A581" s="1"/>
      <c r="B581" s="1"/>
      <c r="C581" s="1"/>
      <c r="D581" s="1"/>
    </row>
    <row r="582" ht="15.75" customHeight="1">
      <c r="A582" s="1"/>
      <c r="B582" s="1"/>
      <c r="C582" s="1"/>
      <c r="D582" s="1"/>
    </row>
    <row r="583" ht="15.75" customHeight="1">
      <c r="A583" s="1"/>
      <c r="B583" s="1"/>
      <c r="C583" s="1"/>
      <c r="D583" s="1"/>
    </row>
    <row r="584" ht="15.75" customHeight="1">
      <c r="A584" s="1"/>
      <c r="B584" s="1"/>
      <c r="C584" s="1"/>
      <c r="D584" s="1"/>
    </row>
    <row r="585" ht="15.75" customHeight="1">
      <c r="A585" s="1"/>
      <c r="B585" s="1"/>
      <c r="C585" s="1"/>
      <c r="D585" s="1"/>
    </row>
    <row r="586" ht="15.75" customHeight="1">
      <c r="A586" s="1"/>
      <c r="B586" s="1"/>
      <c r="C586" s="1"/>
      <c r="D586" s="1"/>
    </row>
    <row r="587" ht="15.75" customHeight="1">
      <c r="A587" s="1"/>
      <c r="B587" s="1"/>
      <c r="C587" s="1"/>
      <c r="D587" s="1"/>
    </row>
    <row r="588" ht="15.75" customHeight="1">
      <c r="A588" s="1"/>
      <c r="B588" s="1"/>
      <c r="C588" s="1"/>
      <c r="D588" s="1"/>
    </row>
    <row r="589" ht="15.75" customHeight="1">
      <c r="A589" s="1"/>
      <c r="B589" s="1"/>
      <c r="C589" s="1"/>
      <c r="D589" s="1"/>
    </row>
    <row r="590" ht="15.75" customHeight="1">
      <c r="A590" s="1"/>
      <c r="B590" s="1"/>
      <c r="C590" s="1"/>
      <c r="D590" s="1"/>
    </row>
    <row r="591" ht="15.75" customHeight="1">
      <c r="A591" s="1"/>
      <c r="B591" s="1"/>
      <c r="C591" s="1"/>
      <c r="D591" s="1"/>
    </row>
    <row r="592" ht="15.75" customHeight="1">
      <c r="A592" s="1"/>
      <c r="B592" s="1"/>
      <c r="C592" s="1"/>
      <c r="D592" s="1"/>
    </row>
    <row r="593" ht="15.75" customHeight="1">
      <c r="A593" s="1"/>
      <c r="B593" s="1"/>
      <c r="C593" s="1"/>
      <c r="D593" s="1"/>
    </row>
    <row r="594" ht="15.75" customHeight="1">
      <c r="A594" s="1"/>
      <c r="B594" s="1"/>
      <c r="C594" s="1"/>
      <c r="D594" s="1"/>
    </row>
    <row r="595" ht="15.75" customHeight="1">
      <c r="A595" s="1"/>
      <c r="B595" s="1"/>
      <c r="C595" s="1"/>
      <c r="D595" s="1"/>
    </row>
    <row r="596" ht="15.75" customHeight="1">
      <c r="A596" s="1"/>
      <c r="B596" s="1"/>
      <c r="C596" s="1"/>
      <c r="D596" s="1"/>
    </row>
    <row r="597" ht="15.75" customHeight="1">
      <c r="A597" s="1"/>
      <c r="B597" s="1"/>
      <c r="C597" s="1"/>
      <c r="D597" s="1"/>
    </row>
    <row r="598" ht="15.75" customHeight="1">
      <c r="A598" s="1"/>
      <c r="B598" s="1"/>
      <c r="C598" s="1"/>
      <c r="D598" s="1"/>
    </row>
    <row r="599" ht="15.75" customHeight="1">
      <c r="A599" s="1"/>
      <c r="B599" s="1"/>
      <c r="C599" s="1"/>
      <c r="D599" s="1"/>
    </row>
    <row r="600" ht="15.75" customHeight="1">
      <c r="A600" s="1"/>
      <c r="B600" s="1"/>
      <c r="C600" s="1"/>
      <c r="D600" s="1"/>
    </row>
    <row r="601" ht="15.75" customHeight="1">
      <c r="A601" s="1"/>
      <c r="B601" s="1"/>
      <c r="C601" s="1"/>
      <c r="D601" s="1"/>
    </row>
    <row r="602" ht="15.75" customHeight="1">
      <c r="A602" s="1"/>
      <c r="B602" s="1"/>
      <c r="C602" s="1"/>
      <c r="D602" s="1"/>
    </row>
    <row r="603" ht="15.75" customHeight="1">
      <c r="A603" s="1"/>
      <c r="B603" s="1"/>
      <c r="C603" s="1"/>
      <c r="D603" s="1"/>
    </row>
    <row r="604" ht="15.75" customHeight="1">
      <c r="A604" s="1"/>
      <c r="B604" s="1"/>
      <c r="C604" s="1"/>
      <c r="D604" s="1"/>
    </row>
    <row r="605" ht="15.75" customHeight="1">
      <c r="A605" s="1"/>
      <c r="B605" s="1"/>
      <c r="C605" s="1"/>
      <c r="D605" s="1"/>
    </row>
    <row r="606" ht="15.75" customHeight="1">
      <c r="A606" s="1"/>
      <c r="B606" s="1"/>
      <c r="C606" s="1"/>
      <c r="D606" s="1"/>
    </row>
    <row r="607" ht="15.75" customHeight="1">
      <c r="A607" s="1"/>
      <c r="B607" s="1"/>
      <c r="C607" s="1"/>
      <c r="D607" s="1"/>
    </row>
    <row r="608" ht="15.75" customHeight="1">
      <c r="A608" s="1"/>
      <c r="B608" s="1"/>
      <c r="C608" s="1"/>
      <c r="D608" s="1"/>
    </row>
    <row r="609" ht="15.75" customHeight="1">
      <c r="A609" s="1"/>
      <c r="B609" s="1"/>
      <c r="C609" s="1"/>
      <c r="D609" s="1"/>
    </row>
    <row r="610" ht="15.75" customHeight="1">
      <c r="A610" s="1"/>
      <c r="B610" s="1"/>
      <c r="C610" s="1"/>
      <c r="D610" s="1"/>
    </row>
    <row r="611" ht="15.75" customHeight="1">
      <c r="A611" s="1"/>
      <c r="B611" s="1"/>
      <c r="C611" s="1"/>
      <c r="D611" s="1"/>
    </row>
    <row r="612" ht="15.75" customHeight="1">
      <c r="A612" s="1"/>
      <c r="B612" s="1"/>
      <c r="C612" s="1"/>
      <c r="D612" s="1"/>
    </row>
    <row r="613" ht="15.75" customHeight="1">
      <c r="A613" s="1"/>
      <c r="B613" s="1"/>
      <c r="C613" s="1"/>
      <c r="D613" s="1"/>
    </row>
    <row r="614" ht="15.75" customHeight="1">
      <c r="A614" s="1"/>
      <c r="B614" s="1"/>
      <c r="C614" s="1"/>
      <c r="D614" s="1"/>
    </row>
    <row r="615" ht="15.75" customHeight="1">
      <c r="A615" s="1"/>
      <c r="B615" s="1"/>
      <c r="C615" s="1"/>
      <c r="D615" s="1"/>
    </row>
    <row r="616" ht="15.75" customHeight="1">
      <c r="A616" s="1"/>
      <c r="B616" s="1"/>
      <c r="C616" s="1"/>
      <c r="D616" s="1"/>
    </row>
    <row r="617" ht="15.75" customHeight="1">
      <c r="A617" s="1"/>
      <c r="B617" s="1"/>
      <c r="C617" s="1"/>
      <c r="D617" s="1"/>
    </row>
    <row r="618" ht="15.75" customHeight="1">
      <c r="A618" s="1"/>
      <c r="B618" s="1"/>
      <c r="C618" s="1"/>
      <c r="D618" s="1"/>
    </row>
    <row r="619" ht="15.75" customHeight="1">
      <c r="A619" s="1"/>
      <c r="B619" s="1"/>
      <c r="C619" s="1"/>
      <c r="D619" s="1"/>
    </row>
    <row r="620" ht="15.75" customHeight="1">
      <c r="A620" s="1"/>
      <c r="B620" s="1"/>
      <c r="C620" s="1"/>
      <c r="D620" s="1"/>
    </row>
    <row r="621" ht="15.75" customHeight="1">
      <c r="A621" s="1"/>
      <c r="B621" s="1"/>
      <c r="C621" s="1"/>
      <c r="D621" s="1"/>
    </row>
    <row r="622" ht="15.75" customHeight="1">
      <c r="A622" s="1"/>
      <c r="B622" s="1"/>
      <c r="C622" s="1"/>
      <c r="D622" s="1"/>
    </row>
    <row r="623" ht="15.75" customHeight="1">
      <c r="A623" s="1"/>
      <c r="B623" s="1"/>
      <c r="C623" s="1"/>
      <c r="D623" s="1"/>
    </row>
    <row r="624" ht="15.75" customHeight="1">
      <c r="A624" s="1"/>
      <c r="B624" s="1"/>
      <c r="C624" s="1"/>
      <c r="D624" s="1"/>
    </row>
    <row r="625" ht="15.75" customHeight="1">
      <c r="A625" s="1"/>
      <c r="B625" s="1"/>
      <c r="C625" s="1"/>
      <c r="D625" s="1"/>
    </row>
    <row r="626" ht="15.75" customHeight="1">
      <c r="A626" s="1"/>
      <c r="B626" s="1"/>
      <c r="C626" s="1"/>
      <c r="D626" s="1"/>
    </row>
    <row r="627" ht="15.75" customHeight="1">
      <c r="A627" s="1"/>
      <c r="B627" s="1"/>
      <c r="C627" s="1"/>
      <c r="D627" s="1"/>
    </row>
    <row r="628" ht="15.75" customHeight="1">
      <c r="A628" s="1"/>
      <c r="B628" s="1"/>
      <c r="C628" s="1"/>
      <c r="D628" s="1"/>
    </row>
    <row r="629" ht="15.75" customHeight="1">
      <c r="A629" s="1"/>
      <c r="B629" s="1"/>
      <c r="C629" s="1"/>
      <c r="D629" s="1"/>
    </row>
    <row r="630" ht="15.75" customHeight="1">
      <c r="A630" s="1"/>
      <c r="B630" s="1"/>
      <c r="C630" s="1"/>
      <c r="D630" s="1"/>
    </row>
    <row r="631" ht="15.75" customHeight="1">
      <c r="A631" s="1"/>
      <c r="B631" s="1"/>
      <c r="C631" s="1"/>
      <c r="D631" s="1"/>
    </row>
    <row r="632" ht="15.75" customHeight="1">
      <c r="A632" s="1"/>
      <c r="B632" s="1"/>
      <c r="C632" s="1"/>
      <c r="D632" s="1"/>
    </row>
    <row r="633" ht="15.75" customHeight="1">
      <c r="A633" s="1"/>
      <c r="B633" s="1"/>
      <c r="C633" s="1"/>
      <c r="D633" s="1"/>
    </row>
    <row r="634" ht="15.75" customHeight="1">
      <c r="A634" s="1"/>
      <c r="B634" s="1"/>
      <c r="C634" s="1"/>
      <c r="D634" s="1"/>
    </row>
    <row r="635" ht="15.75" customHeight="1">
      <c r="A635" s="1"/>
      <c r="B635" s="1"/>
      <c r="C635" s="1"/>
      <c r="D635" s="1"/>
    </row>
    <row r="636" ht="15.75" customHeight="1">
      <c r="A636" s="1"/>
      <c r="B636" s="1"/>
      <c r="C636" s="1"/>
      <c r="D636" s="1"/>
    </row>
    <row r="637" ht="15.75" customHeight="1">
      <c r="A637" s="1"/>
      <c r="B637" s="1"/>
      <c r="C637" s="1"/>
      <c r="D637" s="1"/>
    </row>
    <row r="638" ht="15.75" customHeight="1">
      <c r="A638" s="1"/>
      <c r="B638" s="1"/>
      <c r="C638" s="1"/>
      <c r="D638" s="1"/>
    </row>
    <row r="639" ht="15.75" customHeight="1">
      <c r="A639" s="1"/>
      <c r="B639" s="1"/>
      <c r="C639" s="1"/>
      <c r="D639" s="1"/>
    </row>
    <row r="640" ht="15.75" customHeight="1">
      <c r="A640" s="1"/>
      <c r="B640" s="1"/>
      <c r="C640" s="1"/>
      <c r="D640" s="1"/>
    </row>
    <row r="641" ht="15.75" customHeight="1">
      <c r="A641" s="1"/>
      <c r="B641" s="1"/>
      <c r="C641" s="1"/>
      <c r="D641" s="1"/>
    </row>
    <row r="642" ht="15.75" customHeight="1">
      <c r="A642" s="1"/>
      <c r="B642" s="1"/>
      <c r="C642" s="1"/>
      <c r="D642" s="1"/>
    </row>
    <row r="643" ht="15.75" customHeight="1">
      <c r="A643" s="1"/>
      <c r="B643" s="1"/>
      <c r="C643" s="1"/>
      <c r="D643" s="1"/>
    </row>
    <row r="644" ht="15.75" customHeight="1">
      <c r="A644" s="1"/>
      <c r="B644" s="1"/>
      <c r="C644" s="1"/>
      <c r="D644" s="1"/>
    </row>
    <row r="645" ht="15.75" customHeight="1">
      <c r="A645" s="1"/>
      <c r="B645" s="1"/>
      <c r="C645" s="1"/>
      <c r="D645" s="1"/>
    </row>
    <row r="646" ht="15.75" customHeight="1">
      <c r="A646" s="1"/>
      <c r="B646" s="1"/>
      <c r="C646" s="1"/>
      <c r="D646" s="1"/>
    </row>
    <row r="647" ht="15.75" customHeight="1">
      <c r="A647" s="1"/>
      <c r="B647" s="1"/>
      <c r="C647" s="1"/>
      <c r="D647" s="1"/>
    </row>
    <row r="648" ht="15.75" customHeight="1">
      <c r="A648" s="1"/>
      <c r="B648" s="1"/>
      <c r="C648" s="1"/>
      <c r="D648" s="1"/>
    </row>
    <row r="649" ht="15.75" customHeight="1">
      <c r="A649" s="1"/>
      <c r="B649" s="1"/>
      <c r="C649" s="1"/>
      <c r="D649" s="1"/>
    </row>
    <row r="650" ht="15.75" customHeight="1">
      <c r="A650" s="1"/>
      <c r="B650" s="1"/>
      <c r="C650" s="1"/>
      <c r="D650" s="1"/>
    </row>
    <row r="651" ht="15.75" customHeight="1">
      <c r="A651" s="1"/>
      <c r="B651" s="1"/>
      <c r="C651" s="1"/>
      <c r="D651" s="1"/>
    </row>
    <row r="652" ht="15.75" customHeight="1">
      <c r="A652" s="1"/>
      <c r="B652" s="1"/>
      <c r="C652" s="1"/>
      <c r="D652" s="1"/>
    </row>
    <row r="653" ht="15.75" customHeight="1">
      <c r="A653" s="1"/>
      <c r="B653" s="1"/>
      <c r="C653" s="1"/>
      <c r="D653" s="1"/>
    </row>
    <row r="654" ht="15.75" customHeight="1">
      <c r="A654" s="1"/>
      <c r="B654" s="1"/>
      <c r="C654" s="1"/>
      <c r="D654" s="1"/>
    </row>
    <row r="655" ht="15.75" customHeight="1">
      <c r="A655" s="1"/>
      <c r="B655" s="1"/>
      <c r="C655" s="1"/>
      <c r="D655" s="1"/>
    </row>
    <row r="656" ht="15.75" customHeight="1">
      <c r="A656" s="1"/>
      <c r="B656" s="1"/>
      <c r="C656" s="1"/>
      <c r="D656" s="1"/>
    </row>
    <row r="657" ht="15.75" customHeight="1">
      <c r="A657" s="1"/>
      <c r="B657" s="1"/>
      <c r="C657" s="1"/>
      <c r="D657" s="1"/>
    </row>
    <row r="658" ht="15.75" customHeight="1">
      <c r="A658" s="1"/>
      <c r="B658" s="1"/>
      <c r="C658" s="1"/>
      <c r="D658" s="1"/>
    </row>
    <row r="659" ht="15.75" customHeight="1">
      <c r="A659" s="1"/>
      <c r="B659" s="1"/>
      <c r="C659" s="1"/>
      <c r="D659" s="1"/>
    </row>
    <row r="660" ht="15.75" customHeight="1">
      <c r="A660" s="1"/>
      <c r="B660" s="1"/>
      <c r="C660" s="1"/>
      <c r="D660" s="1"/>
    </row>
    <row r="661" ht="15.75" customHeight="1">
      <c r="A661" s="1"/>
      <c r="B661" s="1"/>
      <c r="C661" s="1"/>
      <c r="D661" s="1"/>
    </row>
    <row r="662" ht="15.75" customHeight="1">
      <c r="A662" s="1"/>
      <c r="B662" s="1"/>
      <c r="C662" s="1"/>
      <c r="D662" s="1"/>
    </row>
    <row r="663" ht="15.75" customHeight="1">
      <c r="A663" s="1"/>
      <c r="B663" s="1"/>
      <c r="C663" s="1"/>
      <c r="D663" s="1"/>
    </row>
    <row r="664" ht="15.75" customHeight="1">
      <c r="A664" s="1"/>
      <c r="B664" s="1"/>
      <c r="C664" s="1"/>
      <c r="D664" s="1"/>
    </row>
    <row r="665" ht="15.75" customHeight="1">
      <c r="A665" s="1"/>
      <c r="B665" s="1"/>
      <c r="C665" s="1"/>
      <c r="D665" s="1"/>
    </row>
    <row r="666" ht="15.75" customHeight="1">
      <c r="A666" s="1"/>
      <c r="B666" s="1"/>
      <c r="C666" s="1"/>
      <c r="D666" s="1"/>
    </row>
    <row r="667" ht="15.75" customHeight="1">
      <c r="A667" s="1"/>
      <c r="B667" s="1"/>
      <c r="C667" s="1"/>
      <c r="D667" s="1"/>
    </row>
    <row r="668" ht="15.75" customHeight="1">
      <c r="A668" s="1"/>
      <c r="B668" s="1"/>
      <c r="C668" s="1"/>
      <c r="D668" s="1"/>
    </row>
    <row r="669" ht="15.75" customHeight="1">
      <c r="A669" s="1"/>
      <c r="B669" s="1"/>
      <c r="C669" s="1"/>
      <c r="D669" s="1"/>
    </row>
    <row r="670" ht="15.75" customHeight="1">
      <c r="A670" s="1"/>
      <c r="B670" s="1"/>
      <c r="C670" s="1"/>
      <c r="D670" s="1"/>
    </row>
    <row r="671" ht="15.75" customHeight="1">
      <c r="A671" s="1"/>
      <c r="B671" s="1"/>
      <c r="C671" s="1"/>
      <c r="D671" s="1"/>
    </row>
    <row r="672" ht="15.75" customHeight="1">
      <c r="A672" s="1"/>
      <c r="B672" s="1"/>
      <c r="C672" s="1"/>
      <c r="D672" s="1"/>
    </row>
    <row r="673" ht="15.75" customHeight="1">
      <c r="A673" s="1"/>
      <c r="B673" s="1"/>
      <c r="C673" s="1"/>
      <c r="D673" s="1"/>
    </row>
    <row r="674" ht="15.75" customHeight="1">
      <c r="A674" s="1"/>
      <c r="B674" s="1"/>
      <c r="C674" s="1"/>
      <c r="D674" s="1"/>
    </row>
    <row r="675" ht="15.75" customHeight="1">
      <c r="A675" s="1"/>
      <c r="B675" s="1"/>
      <c r="C675" s="1"/>
      <c r="D675" s="1"/>
    </row>
    <row r="676" ht="15.75" customHeight="1">
      <c r="A676" s="1"/>
      <c r="B676" s="1"/>
      <c r="C676" s="1"/>
      <c r="D676" s="1"/>
    </row>
    <row r="677" ht="15.75" customHeight="1">
      <c r="A677" s="1"/>
      <c r="B677" s="1"/>
      <c r="C677" s="1"/>
      <c r="D677" s="1"/>
    </row>
    <row r="678" ht="15.75" customHeight="1">
      <c r="A678" s="1"/>
      <c r="B678" s="1"/>
      <c r="C678" s="1"/>
      <c r="D678" s="1"/>
    </row>
    <row r="679" ht="15.75" customHeight="1">
      <c r="A679" s="1"/>
      <c r="B679" s="1"/>
      <c r="C679" s="1"/>
      <c r="D679" s="1"/>
    </row>
    <row r="680" ht="15.75" customHeight="1">
      <c r="A680" s="1"/>
      <c r="B680" s="1"/>
      <c r="C680" s="1"/>
      <c r="D680" s="1"/>
    </row>
    <row r="681" ht="15.75" customHeight="1">
      <c r="A681" s="1"/>
      <c r="B681" s="1"/>
      <c r="C681" s="1"/>
      <c r="D681" s="1"/>
    </row>
    <row r="682" ht="15.75" customHeight="1">
      <c r="A682" s="1"/>
      <c r="B682" s="1"/>
      <c r="C682" s="1"/>
      <c r="D682" s="1"/>
    </row>
    <row r="683" ht="15.75" customHeight="1">
      <c r="A683" s="1"/>
      <c r="B683" s="1"/>
      <c r="C683" s="1"/>
      <c r="D683" s="1"/>
    </row>
    <row r="684" ht="15.75" customHeight="1">
      <c r="A684" s="1"/>
      <c r="B684" s="1"/>
      <c r="C684" s="1"/>
      <c r="D684" s="1"/>
    </row>
    <row r="685" ht="15.75" customHeight="1">
      <c r="A685" s="1"/>
      <c r="B685" s="1"/>
      <c r="C685" s="1"/>
      <c r="D685" s="1"/>
    </row>
    <row r="686" ht="15.75" customHeight="1">
      <c r="A686" s="1"/>
      <c r="B686" s="1"/>
      <c r="C686" s="1"/>
      <c r="D686" s="1"/>
    </row>
    <row r="687" ht="15.75" customHeight="1">
      <c r="A687" s="1"/>
      <c r="B687" s="1"/>
      <c r="C687" s="1"/>
      <c r="D687" s="1"/>
    </row>
    <row r="688" ht="15.75" customHeight="1">
      <c r="A688" s="1"/>
      <c r="B688" s="1"/>
      <c r="C688" s="1"/>
      <c r="D688" s="1"/>
    </row>
    <row r="689" ht="15.75" customHeight="1">
      <c r="A689" s="1"/>
      <c r="B689" s="1"/>
      <c r="C689" s="1"/>
      <c r="D689" s="1"/>
    </row>
    <row r="690" ht="15.75" customHeight="1">
      <c r="A690" s="1"/>
      <c r="B690" s="1"/>
      <c r="C690" s="1"/>
      <c r="D690" s="1"/>
    </row>
    <row r="691" ht="15.75" customHeight="1">
      <c r="A691" s="1"/>
      <c r="B691" s="1"/>
      <c r="C691" s="1"/>
      <c r="D691" s="1"/>
    </row>
    <row r="692" ht="15.75" customHeight="1">
      <c r="A692" s="1"/>
      <c r="B692" s="1"/>
      <c r="C692" s="1"/>
      <c r="D692" s="1"/>
    </row>
    <row r="693" ht="15.75" customHeight="1">
      <c r="A693" s="1"/>
      <c r="B693" s="1"/>
      <c r="C693" s="1"/>
      <c r="D693" s="1"/>
    </row>
    <row r="694" ht="15.75" customHeight="1">
      <c r="A694" s="1"/>
      <c r="B694" s="1"/>
      <c r="C694" s="1"/>
      <c r="D694" s="1"/>
    </row>
    <row r="695" ht="15.75" customHeight="1">
      <c r="A695" s="1"/>
      <c r="B695" s="1"/>
      <c r="C695" s="1"/>
      <c r="D695" s="1"/>
    </row>
    <row r="696" ht="15.75" customHeight="1">
      <c r="A696" s="1"/>
      <c r="B696" s="1"/>
      <c r="C696" s="1"/>
      <c r="D696" s="1"/>
    </row>
    <row r="697" ht="15.75" customHeight="1">
      <c r="A697" s="1"/>
      <c r="B697" s="1"/>
      <c r="C697" s="1"/>
      <c r="D697" s="1"/>
    </row>
    <row r="698" ht="15.75" customHeight="1">
      <c r="A698" s="1"/>
      <c r="B698" s="1"/>
      <c r="C698" s="1"/>
      <c r="D698" s="1"/>
    </row>
    <row r="699" ht="15.75" customHeight="1">
      <c r="A699" s="1"/>
      <c r="B699" s="1"/>
      <c r="C699" s="1"/>
      <c r="D699" s="1"/>
    </row>
    <row r="700" ht="15.75" customHeight="1">
      <c r="A700" s="1"/>
      <c r="B700" s="1"/>
      <c r="C700" s="1"/>
      <c r="D700" s="1"/>
    </row>
    <row r="701" ht="15.75" customHeight="1">
      <c r="A701" s="1"/>
      <c r="B701" s="1"/>
      <c r="C701" s="1"/>
      <c r="D701" s="1"/>
    </row>
    <row r="702" ht="15.75" customHeight="1">
      <c r="A702" s="1"/>
      <c r="B702" s="1"/>
      <c r="C702" s="1"/>
      <c r="D702" s="1"/>
    </row>
    <row r="703" ht="15.75" customHeight="1">
      <c r="A703" s="1"/>
      <c r="B703" s="1"/>
      <c r="C703" s="1"/>
      <c r="D703" s="1"/>
    </row>
    <row r="704" ht="15.75" customHeight="1">
      <c r="A704" s="1"/>
      <c r="B704" s="1"/>
      <c r="C704" s="1"/>
      <c r="D704" s="1"/>
    </row>
    <row r="705" ht="15.75" customHeight="1">
      <c r="A705" s="1"/>
      <c r="B705" s="1"/>
      <c r="C705" s="1"/>
      <c r="D705" s="1"/>
    </row>
    <row r="706" ht="15.75" customHeight="1">
      <c r="A706" s="1"/>
      <c r="B706" s="1"/>
      <c r="C706" s="1"/>
      <c r="D706" s="1"/>
    </row>
    <row r="707" ht="15.75" customHeight="1">
      <c r="A707" s="1"/>
      <c r="B707" s="1"/>
      <c r="C707" s="1"/>
      <c r="D707" s="1"/>
    </row>
    <row r="708" ht="15.75" customHeight="1">
      <c r="A708" s="1"/>
      <c r="B708" s="1"/>
      <c r="C708" s="1"/>
      <c r="D708" s="1"/>
    </row>
    <row r="709" ht="15.75" customHeight="1">
      <c r="A709" s="1"/>
      <c r="B709" s="1"/>
      <c r="C709" s="1"/>
      <c r="D709" s="1"/>
    </row>
    <row r="710" ht="15.75" customHeight="1">
      <c r="A710" s="1"/>
      <c r="B710" s="1"/>
      <c r="C710" s="1"/>
      <c r="D710" s="1"/>
    </row>
    <row r="711" ht="15.75" customHeight="1">
      <c r="A711" s="1"/>
      <c r="B711" s="1"/>
      <c r="C711" s="1"/>
      <c r="D711" s="1"/>
    </row>
    <row r="712" ht="15.75" customHeight="1">
      <c r="A712" s="1"/>
      <c r="B712" s="1"/>
      <c r="C712" s="1"/>
      <c r="D712" s="1"/>
    </row>
    <row r="713" ht="15.75" customHeight="1">
      <c r="A713" s="1"/>
      <c r="B713" s="1"/>
      <c r="C713" s="1"/>
      <c r="D713" s="1"/>
    </row>
    <row r="714" ht="15.75" customHeight="1">
      <c r="A714" s="1"/>
      <c r="B714" s="1"/>
      <c r="C714" s="1"/>
      <c r="D714" s="1"/>
    </row>
    <row r="715" ht="15.75" customHeight="1">
      <c r="A715" s="1"/>
      <c r="B715" s="1"/>
      <c r="C715" s="1"/>
      <c r="D715" s="1"/>
    </row>
    <row r="716" ht="15.75" customHeight="1">
      <c r="A716" s="1"/>
      <c r="B716" s="1"/>
      <c r="C716" s="1"/>
      <c r="D716" s="1"/>
    </row>
    <row r="717" ht="15.75" customHeight="1">
      <c r="A717" s="1"/>
      <c r="B717" s="1"/>
      <c r="C717" s="1"/>
      <c r="D717" s="1"/>
    </row>
    <row r="718" ht="15.75" customHeight="1">
      <c r="A718" s="1"/>
      <c r="B718" s="1"/>
      <c r="C718" s="1"/>
      <c r="D718" s="1"/>
    </row>
    <row r="719" ht="15.75" customHeight="1">
      <c r="A719" s="1"/>
      <c r="B719" s="1"/>
      <c r="C719" s="1"/>
      <c r="D719" s="1"/>
    </row>
    <row r="720" ht="15.75" customHeight="1">
      <c r="A720" s="1"/>
      <c r="B720" s="1"/>
      <c r="C720" s="1"/>
      <c r="D720" s="1"/>
    </row>
    <row r="721" ht="15.75" customHeight="1">
      <c r="A721" s="1"/>
      <c r="B721" s="1"/>
      <c r="C721" s="1"/>
      <c r="D721" s="1"/>
    </row>
    <row r="722" ht="15.75" customHeight="1">
      <c r="A722" s="1"/>
      <c r="B722" s="1"/>
      <c r="C722" s="1"/>
      <c r="D722" s="1"/>
    </row>
    <row r="723" ht="15.75" customHeight="1">
      <c r="A723" s="1"/>
      <c r="B723" s="1"/>
      <c r="C723" s="1"/>
      <c r="D723" s="1"/>
    </row>
    <row r="724" ht="15.75" customHeight="1">
      <c r="A724" s="1"/>
      <c r="B724" s="1"/>
      <c r="C724" s="1"/>
      <c r="D724" s="1"/>
    </row>
    <row r="725" ht="15.75" customHeight="1">
      <c r="A725" s="1"/>
      <c r="B725" s="1"/>
      <c r="C725" s="1"/>
      <c r="D725" s="1"/>
    </row>
    <row r="726" ht="15.75" customHeight="1">
      <c r="A726" s="1"/>
      <c r="B726" s="1"/>
      <c r="C726" s="1"/>
      <c r="D726" s="1"/>
    </row>
    <row r="727" ht="15.75" customHeight="1">
      <c r="A727" s="1"/>
      <c r="B727" s="1"/>
      <c r="C727" s="1"/>
      <c r="D727" s="1"/>
    </row>
    <row r="728" ht="15.75" customHeight="1">
      <c r="A728" s="1"/>
      <c r="B728" s="1"/>
      <c r="C728" s="1"/>
      <c r="D728" s="1"/>
    </row>
    <row r="729" ht="15.75" customHeight="1">
      <c r="A729" s="1"/>
      <c r="B729" s="1"/>
      <c r="C729" s="1"/>
      <c r="D729" s="1"/>
    </row>
    <row r="730" ht="15.75" customHeight="1">
      <c r="A730" s="1"/>
      <c r="B730" s="1"/>
      <c r="C730" s="1"/>
      <c r="D730" s="1"/>
    </row>
    <row r="731" ht="15.75" customHeight="1">
      <c r="A731" s="1"/>
      <c r="B731" s="1"/>
      <c r="C731" s="1"/>
      <c r="D731" s="1"/>
    </row>
    <row r="732" ht="15.75" customHeight="1">
      <c r="A732" s="1"/>
      <c r="B732" s="1"/>
      <c r="C732" s="1"/>
      <c r="D732" s="1"/>
    </row>
    <row r="733" ht="15.75" customHeight="1">
      <c r="A733" s="1"/>
      <c r="B733" s="1"/>
      <c r="C733" s="1"/>
      <c r="D733" s="1"/>
    </row>
    <row r="734" ht="15.75" customHeight="1">
      <c r="A734" s="1"/>
      <c r="B734" s="1"/>
      <c r="C734" s="1"/>
      <c r="D734" s="1"/>
    </row>
    <row r="735" ht="15.75" customHeight="1">
      <c r="A735" s="1"/>
      <c r="B735" s="1"/>
      <c r="C735" s="1"/>
      <c r="D735" s="1"/>
    </row>
    <row r="736" ht="15.75" customHeight="1">
      <c r="A736" s="1"/>
      <c r="B736" s="1"/>
      <c r="C736" s="1"/>
      <c r="D736" s="1"/>
    </row>
    <row r="737" ht="15.75" customHeight="1">
      <c r="A737" s="1"/>
      <c r="B737" s="1"/>
      <c r="C737" s="1"/>
      <c r="D737" s="1"/>
    </row>
    <row r="738" ht="15.75" customHeight="1">
      <c r="A738" s="1"/>
      <c r="B738" s="1"/>
      <c r="C738" s="1"/>
      <c r="D738" s="1"/>
    </row>
    <row r="739" ht="15.75" customHeight="1">
      <c r="A739" s="1"/>
      <c r="B739" s="1"/>
      <c r="C739" s="1"/>
      <c r="D739" s="1"/>
    </row>
    <row r="740" ht="15.75" customHeight="1">
      <c r="A740" s="1"/>
      <c r="B740" s="1"/>
      <c r="C740" s="1"/>
      <c r="D740" s="1"/>
    </row>
    <row r="741" ht="15.75" customHeight="1">
      <c r="A741" s="1"/>
      <c r="B741" s="1"/>
      <c r="C741" s="1"/>
      <c r="D741" s="1"/>
    </row>
    <row r="742" ht="15.75" customHeight="1">
      <c r="A742" s="1"/>
      <c r="B742" s="1"/>
      <c r="C742" s="1"/>
      <c r="D742" s="1"/>
    </row>
    <row r="743" ht="15.75" customHeight="1">
      <c r="A743" s="1"/>
      <c r="B743" s="1"/>
      <c r="C743" s="1"/>
      <c r="D743" s="1"/>
    </row>
    <row r="744" ht="15.75" customHeight="1">
      <c r="A744" s="1"/>
      <c r="B744" s="1"/>
      <c r="C744" s="1"/>
      <c r="D744" s="1"/>
    </row>
    <row r="745" ht="15.75" customHeight="1">
      <c r="A745" s="1"/>
      <c r="B745" s="1"/>
      <c r="C745" s="1"/>
      <c r="D745" s="1"/>
    </row>
    <row r="746" ht="15.75" customHeight="1">
      <c r="A746" s="1"/>
      <c r="B746" s="1"/>
      <c r="C746" s="1"/>
      <c r="D746" s="1"/>
    </row>
    <row r="747" ht="15.75" customHeight="1">
      <c r="A747" s="1"/>
      <c r="B747" s="1"/>
      <c r="C747" s="1"/>
      <c r="D747" s="1"/>
    </row>
    <row r="748" ht="15.75" customHeight="1">
      <c r="A748" s="1"/>
      <c r="B748" s="1"/>
      <c r="C748" s="1"/>
      <c r="D748" s="1"/>
    </row>
    <row r="749" ht="15.75" customHeight="1">
      <c r="A749" s="1"/>
      <c r="B749" s="1"/>
      <c r="C749" s="1"/>
      <c r="D749" s="1"/>
    </row>
    <row r="750" ht="15.75" customHeight="1">
      <c r="A750" s="1"/>
      <c r="B750" s="1"/>
      <c r="C750" s="1"/>
      <c r="D750" s="1"/>
    </row>
    <row r="751" ht="15.75" customHeight="1">
      <c r="A751" s="1"/>
      <c r="B751" s="1"/>
      <c r="C751" s="1"/>
      <c r="D751" s="1"/>
    </row>
    <row r="752" ht="15.75" customHeight="1">
      <c r="A752" s="1"/>
      <c r="B752" s="1"/>
      <c r="C752" s="1"/>
      <c r="D752" s="1"/>
    </row>
    <row r="753" ht="15.75" customHeight="1">
      <c r="A753" s="1"/>
      <c r="B753" s="1"/>
      <c r="C753" s="1"/>
      <c r="D753" s="1"/>
    </row>
    <row r="754" ht="15.75" customHeight="1">
      <c r="A754" s="1"/>
      <c r="B754" s="1"/>
      <c r="C754" s="1"/>
      <c r="D754" s="1"/>
    </row>
    <row r="755" ht="15.75" customHeight="1">
      <c r="A755" s="1"/>
      <c r="B755" s="1"/>
      <c r="C755" s="1"/>
      <c r="D755" s="1"/>
    </row>
    <row r="756" ht="15.75" customHeight="1">
      <c r="A756" s="1"/>
      <c r="B756" s="1"/>
      <c r="C756" s="1"/>
      <c r="D756" s="1"/>
    </row>
    <row r="757" ht="15.75" customHeight="1">
      <c r="A757" s="1"/>
      <c r="B757" s="1"/>
      <c r="C757" s="1"/>
      <c r="D757" s="1"/>
    </row>
    <row r="758" ht="15.75" customHeight="1">
      <c r="A758" s="1"/>
      <c r="B758" s="1"/>
      <c r="C758" s="1"/>
      <c r="D758" s="1"/>
    </row>
    <row r="759" ht="15.75" customHeight="1">
      <c r="A759" s="1"/>
      <c r="B759" s="1"/>
      <c r="C759" s="1"/>
      <c r="D759" s="1"/>
    </row>
    <row r="760" ht="15.75" customHeight="1">
      <c r="A760" s="1"/>
      <c r="B760" s="1"/>
      <c r="C760" s="1"/>
      <c r="D760" s="1"/>
    </row>
    <row r="761" ht="15.75" customHeight="1">
      <c r="A761" s="1"/>
      <c r="B761" s="1"/>
      <c r="C761" s="1"/>
      <c r="D761" s="1"/>
    </row>
    <row r="762" ht="15.75" customHeight="1">
      <c r="A762" s="1"/>
      <c r="B762" s="1"/>
      <c r="C762" s="1"/>
      <c r="D762" s="1"/>
    </row>
    <row r="763" ht="15.75" customHeight="1">
      <c r="A763" s="1"/>
      <c r="B763" s="1"/>
      <c r="C763" s="1"/>
      <c r="D763" s="1"/>
    </row>
    <row r="764" ht="15.75" customHeight="1">
      <c r="A764" s="1"/>
      <c r="B764" s="1"/>
      <c r="C764" s="1"/>
      <c r="D764" s="1"/>
    </row>
    <row r="765" ht="15.75" customHeight="1">
      <c r="A765" s="1"/>
      <c r="B765" s="1"/>
      <c r="C765" s="1"/>
      <c r="D765" s="1"/>
    </row>
    <row r="766" ht="15.75" customHeight="1">
      <c r="A766" s="1"/>
      <c r="B766" s="1"/>
      <c r="C766" s="1"/>
      <c r="D766" s="1"/>
    </row>
    <row r="767" ht="15.75" customHeight="1">
      <c r="A767" s="1"/>
      <c r="B767" s="1"/>
      <c r="C767" s="1"/>
      <c r="D767" s="1"/>
    </row>
    <row r="768" ht="15.75" customHeight="1">
      <c r="A768" s="1"/>
      <c r="B768" s="1"/>
      <c r="C768" s="1"/>
      <c r="D768" s="1"/>
    </row>
    <row r="769" ht="15.75" customHeight="1">
      <c r="A769" s="1"/>
      <c r="B769" s="1"/>
      <c r="C769" s="1"/>
      <c r="D769" s="1"/>
    </row>
    <row r="770" ht="15.75" customHeight="1">
      <c r="A770" s="1"/>
      <c r="B770" s="1"/>
      <c r="C770" s="1"/>
      <c r="D770" s="1"/>
    </row>
    <row r="771" ht="15.75" customHeight="1">
      <c r="A771" s="1"/>
      <c r="B771" s="1"/>
      <c r="C771" s="1"/>
      <c r="D771" s="1"/>
    </row>
    <row r="772" ht="15.75" customHeight="1">
      <c r="A772" s="1"/>
      <c r="B772" s="1"/>
      <c r="C772" s="1"/>
      <c r="D772" s="1"/>
    </row>
    <row r="773" ht="15.75" customHeight="1">
      <c r="A773" s="1"/>
      <c r="B773" s="1"/>
      <c r="C773" s="1"/>
      <c r="D773" s="1"/>
    </row>
    <row r="774" ht="15.75" customHeight="1">
      <c r="A774" s="1"/>
      <c r="B774" s="1"/>
      <c r="C774" s="1"/>
      <c r="D774" s="1"/>
    </row>
    <row r="775" ht="15.75" customHeight="1">
      <c r="A775" s="1"/>
      <c r="B775" s="1"/>
      <c r="C775" s="1"/>
      <c r="D775" s="1"/>
    </row>
    <row r="776" ht="15.75" customHeight="1">
      <c r="A776" s="1"/>
      <c r="B776" s="1"/>
      <c r="C776" s="1"/>
      <c r="D776" s="1"/>
    </row>
    <row r="777" ht="15.75" customHeight="1">
      <c r="A777" s="1"/>
      <c r="B777" s="1"/>
      <c r="C777" s="1"/>
      <c r="D777" s="1"/>
    </row>
    <row r="778" ht="15.75" customHeight="1">
      <c r="A778" s="1"/>
      <c r="B778" s="1"/>
      <c r="C778" s="1"/>
      <c r="D778" s="1"/>
    </row>
    <row r="779" ht="15.75" customHeight="1">
      <c r="A779" s="1"/>
      <c r="B779" s="1"/>
      <c r="C779" s="1"/>
      <c r="D779" s="1"/>
    </row>
    <row r="780" ht="15.75" customHeight="1">
      <c r="A780" s="1"/>
      <c r="B780" s="1"/>
      <c r="C780" s="1"/>
      <c r="D780" s="1"/>
    </row>
    <row r="781" ht="15.75" customHeight="1">
      <c r="A781" s="1"/>
      <c r="B781" s="1"/>
      <c r="C781" s="1"/>
      <c r="D781" s="1"/>
    </row>
    <row r="782" ht="15.75" customHeight="1">
      <c r="A782" s="1"/>
      <c r="B782" s="1"/>
      <c r="C782" s="1"/>
      <c r="D782" s="1"/>
    </row>
    <row r="783" ht="15.75" customHeight="1">
      <c r="A783" s="1"/>
      <c r="B783" s="1"/>
      <c r="C783" s="1"/>
      <c r="D783" s="1"/>
    </row>
    <row r="784" ht="15.75" customHeight="1">
      <c r="A784" s="1"/>
      <c r="B784" s="1"/>
      <c r="C784" s="1"/>
      <c r="D784" s="1"/>
    </row>
    <row r="785" ht="15.75" customHeight="1">
      <c r="A785" s="1"/>
      <c r="B785" s="1"/>
      <c r="C785" s="1"/>
      <c r="D785" s="1"/>
    </row>
    <row r="786" ht="15.75" customHeight="1">
      <c r="A786" s="1"/>
      <c r="B786" s="1"/>
      <c r="C786" s="1"/>
      <c r="D786" s="1"/>
    </row>
    <row r="787" ht="15.75" customHeight="1">
      <c r="A787" s="1"/>
      <c r="B787" s="1"/>
      <c r="C787" s="1"/>
      <c r="D787" s="1"/>
    </row>
    <row r="788" ht="15.75" customHeight="1">
      <c r="A788" s="1"/>
      <c r="B788" s="1"/>
      <c r="C788" s="1"/>
      <c r="D788" s="1"/>
    </row>
    <row r="789" ht="15.75" customHeight="1">
      <c r="A789" s="1"/>
      <c r="B789" s="1"/>
      <c r="C789" s="1"/>
      <c r="D789" s="1"/>
    </row>
    <row r="790" ht="15.75" customHeight="1">
      <c r="A790" s="1"/>
      <c r="B790" s="1"/>
      <c r="C790" s="1"/>
      <c r="D790" s="1"/>
    </row>
    <row r="791" ht="15.75" customHeight="1">
      <c r="A791" s="1"/>
      <c r="B791" s="1"/>
      <c r="C791" s="1"/>
      <c r="D791" s="1"/>
    </row>
    <row r="792" ht="15.75" customHeight="1">
      <c r="A792" s="1"/>
      <c r="B792" s="1"/>
      <c r="C792" s="1"/>
      <c r="D792" s="1"/>
    </row>
    <row r="793" ht="15.75" customHeight="1">
      <c r="A793" s="1"/>
      <c r="B793" s="1"/>
      <c r="C793" s="1"/>
      <c r="D793" s="1"/>
    </row>
    <row r="794" ht="15.75" customHeight="1">
      <c r="A794" s="1"/>
      <c r="B794" s="1"/>
      <c r="C794" s="1"/>
      <c r="D794" s="1"/>
    </row>
    <row r="795" ht="15.75" customHeight="1">
      <c r="A795" s="1"/>
      <c r="B795" s="1"/>
      <c r="C795" s="1"/>
      <c r="D795" s="1"/>
    </row>
    <row r="796" ht="15.75" customHeight="1">
      <c r="A796" s="1"/>
      <c r="B796" s="1"/>
      <c r="C796" s="1"/>
      <c r="D796" s="1"/>
    </row>
    <row r="797" ht="15.75" customHeight="1">
      <c r="A797" s="1"/>
      <c r="B797" s="1"/>
      <c r="C797" s="1"/>
      <c r="D797" s="1"/>
    </row>
    <row r="798" ht="15.75" customHeight="1">
      <c r="A798" s="1"/>
      <c r="B798" s="1"/>
      <c r="C798" s="1"/>
      <c r="D798" s="1"/>
    </row>
    <row r="799" ht="15.75" customHeight="1">
      <c r="A799" s="1"/>
      <c r="B799" s="1"/>
      <c r="C799" s="1"/>
      <c r="D799" s="1"/>
    </row>
    <row r="800" ht="15.75" customHeight="1">
      <c r="A800" s="1"/>
      <c r="B800" s="1"/>
      <c r="C800" s="1"/>
      <c r="D800" s="1"/>
    </row>
    <row r="801" ht="15.75" customHeight="1">
      <c r="A801" s="1"/>
      <c r="B801" s="1"/>
      <c r="C801" s="1"/>
      <c r="D801" s="1"/>
    </row>
    <row r="802" ht="15.75" customHeight="1">
      <c r="A802" s="1"/>
      <c r="B802" s="1"/>
      <c r="C802" s="1"/>
      <c r="D802" s="1"/>
    </row>
    <row r="803" ht="15.75" customHeight="1">
      <c r="A803" s="1"/>
      <c r="B803" s="1"/>
      <c r="C803" s="1"/>
      <c r="D803" s="1"/>
    </row>
    <row r="804" ht="15.75" customHeight="1">
      <c r="A804" s="1"/>
      <c r="B804" s="1"/>
      <c r="C804" s="1"/>
      <c r="D804" s="1"/>
    </row>
    <row r="805" ht="15.75" customHeight="1">
      <c r="A805" s="1"/>
      <c r="B805" s="1"/>
      <c r="C805" s="1"/>
      <c r="D805" s="1"/>
    </row>
    <row r="806" ht="15.75" customHeight="1">
      <c r="A806" s="1"/>
      <c r="B806" s="1"/>
      <c r="C806" s="1"/>
      <c r="D806" s="1"/>
    </row>
    <row r="807" ht="15.75" customHeight="1">
      <c r="A807" s="1"/>
      <c r="B807" s="1"/>
      <c r="C807" s="1"/>
      <c r="D807" s="1"/>
    </row>
    <row r="808" ht="15.75" customHeight="1">
      <c r="A808" s="1"/>
      <c r="B808" s="1"/>
      <c r="C808" s="1"/>
      <c r="D808" s="1"/>
    </row>
    <row r="809" ht="15.75" customHeight="1">
      <c r="A809" s="1"/>
      <c r="B809" s="1"/>
      <c r="C809" s="1"/>
      <c r="D809" s="1"/>
    </row>
    <row r="810" ht="15.75" customHeight="1">
      <c r="A810" s="1"/>
      <c r="B810" s="1"/>
      <c r="C810" s="1"/>
      <c r="D810" s="1"/>
    </row>
    <row r="811" ht="15.75" customHeight="1">
      <c r="A811" s="1"/>
      <c r="B811" s="1"/>
      <c r="C811" s="1"/>
      <c r="D811" s="1"/>
    </row>
    <row r="812" ht="15.75" customHeight="1">
      <c r="A812" s="1"/>
      <c r="B812" s="1"/>
      <c r="C812" s="1"/>
      <c r="D812" s="1"/>
    </row>
    <row r="813" ht="15.75" customHeight="1">
      <c r="A813" s="1"/>
      <c r="B813" s="1"/>
      <c r="C813" s="1"/>
      <c r="D813" s="1"/>
    </row>
    <row r="814" ht="15.75" customHeight="1">
      <c r="A814" s="1"/>
      <c r="B814" s="1"/>
      <c r="C814" s="1"/>
      <c r="D814" s="1"/>
    </row>
    <row r="815" ht="15.75" customHeight="1">
      <c r="A815" s="1"/>
      <c r="B815" s="1"/>
      <c r="C815" s="1"/>
      <c r="D815" s="1"/>
    </row>
    <row r="816" ht="15.75" customHeight="1">
      <c r="A816" s="1"/>
      <c r="B816" s="1"/>
      <c r="C816" s="1"/>
      <c r="D816" s="1"/>
    </row>
    <row r="817" ht="15.75" customHeight="1">
      <c r="A817" s="1"/>
      <c r="B817" s="1"/>
      <c r="C817" s="1"/>
      <c r="D817" s="1"/>
    </row>
    <row r="818" ht="15.75" customHeight="1">
      <c r="A818" s="1"/>
      <c r="B818" s="1"/>
      <c r="C818" s="1"/>
      <c r="D818" s="1"/>
    </row>
    <row r="819" ht="15.75" customHeight="1">
      <c r="A819" s="1"/>
      <c r="B819" s="1"/>
      <c r="C819" s="1"/>
      <c r="D819" s="1"/>
    </row>
    <row r="820" ht="15.75" customHeight="1">
      <c r="A820" s="1"/>
      <c r="B820" s="1"/>
      <c r="C820" s="1"/>
      <c r="D820" s="1"/>
    </row>
    <row r="821" ht="15.75" customHeight="1">
      <c r="A821" s="1"/>
      <c r="B821" s="1"/>
      <c r="C821" s="1"/>
      <c r="D821" s="1"/>
    </row>
    <row r="822" ht="15.75" customHeight="1">
      <c r="A822" s="1"/>
      <c r="B822" s="1"/>
      <c r="C822" s="1"/>
      <c r="D822" s="1"/>
    </row>
    <row r="823" ht="15.75" customHeight="1">
      <c r="A823" s="1"/>
      <c r="B823" s="1"/>
      <c r="C823" s="1"/>
      <c r="D823" s="1"/>
    </row>
    <row r="824" ht="15.75" customHeight="1">
      <c r="A824" s="1"/>
      <c r="B824" s="1"/>
      <c r="C824" s="1"/>
      <c r="D824" s="1"/>
    </row>
    <row r="825" ht="15.75" customHeight="1">
      <c r="A825" s="1"/>
      <c r="B825" s="1"/>
      <c r="C825" s="1"/>
      <c r="D825" s="1"/>
    </row>
    <row r="826" ht="15.75" customHeight="1">
      <c r="A826" s="1"/>
      <c r="B826" s="1"/>
      <c r="C826" s="1"/>
      <c r="D826" s="1"/>
    </row>
    <row r="827" ht="15.75" customHeight="1">
      <c r="A827" s="1"/>
      <c r="B827" s="1"/>
      <c r="C827" s="1"/>
      <c r="D827" s="1"/>
    </row>
    <row r="828" ht="15.75" customHeight="1">
      <c r="A828" s="1"/>
      <c r="B828" s="1"/>
      <c r="C828" s="1"/>
      <c r="D828" s="1"/>
    </row>
    <row r="829" ht="15.75" customHeight="1">
      <c r="A829" s="1"/>
      <c r="B829" s="1"/>
      <c r="C829" s="1"/>
      <c r="D829" s="1"/>
    </row>
    <row r="830" ht="15.75" customHeight="1">
      <c r="A830" s="1"/>
      <c r="B830" s="1"/>
      <c r="C830" s="1"/>
      <c r="D830" s="1"/>
    </row>
    <row r="831" ht="15.75" customHeight="1">
      <c r="A831" s="1"/>
      <c r="B831" s="1"/>
      <c r="C831" s="1"/>
      <c r="D831" s="1"/>
    </row>
    <row r="832" ht="15.75" customHeight="1">
      <c r="A832" s="1"/>
      <c r="B832" s="1"/>
      <c r="C832" s="1"/>
      <c r="D832" s="1"/>
    </row>
    <row r="833" ht="15.75" customHeight="1">
      <c r="A833" s="1"/>
      <c r="B833" s="1"/>
      <c r="C833" s="1"/>
      <c r="D833" s="1"/>
    </row>
    <row r="834" ht="15.75" customHeight="1">
      <c r="A834" s="1"/>
      <c r="B834" s="1"/>
      <c r="C834" s="1"/>
      <c r="D834" s="1"/>
    </row>
    <row r="835" ht="15.75" customHeight="1">
      <c r="A835" s="1"/>
      <c r="B835" s="1"/>
      <c r="C835" s="1"/>
      <c r="D835" s="1"/>
    </row>
    <row r="836" ht="15.75" customHeight="1">
      <c r="A836" s="1"/>
      <c r="B836" s="1"/>
      <c r="C836" s="1"/>
      <c r="D836" s="1"/>
    </row>
    <row r="837" ht="15.75" customHeight="1">
      <c r="A837" s="1"/>
      <c r="B837" s="1"/>
      <c r="C837" s="1"/>
      <c r="D837" s="1"/>
    </row>
    <row r="838" ht="15.75" customHeight="1">
      <c r="A838" s="1"/>
      <c r="B838" s="1"/>
      <c r="C838" s="1"/>
      <c r="D838" s="1"/>
    </row>
    <row r="839" ht="15.75" customHeight="1">
      <c r="A839" s="1"/>
      <c r="B839" s="1"/>
      <c r="C839" s="1"/>
      <c r="D839" s="1"/>
    </row>
    <row r="840" ht="15.75" customHeight="1">
      <c r="A840" s="1"/>
      <c r="B840" s="1"/>
      <c r="C840" s="1"/>
      <c r="D840" s="1"/>
    </row>
    <row r="841" ht="15.75" customHeight="1">
      <c r="A841" s="1"/>
      <c r="B841" s="1"/>
      <c r="C841" s="1"/>
      <c r="D841" s="1"/>
    </row>
    <row r="842" ht="15.75" customHeight="1">
      <c r="A842" s="1"/>
      <c r="B842" s="1"/>
      <c r="C842" s="1"/>
      <c r="D842" s="1"/>
    </row>
    <row r="843" ht="15.75" customHeight="1">
      <c r="A843" s="1"/>
      <c r="B843" s="1"/>
      <c r="C843" s="1"/>
      <c r="D843" s="1"/>
    </row>
    <row r="844" ht="15.75" customHeight="1">
      <c r="A844" s="1"/>
      <c r="B844" s="1"/>
      <c r="C844" s="1"/>
      <c r="D844" s="1"/>
    </row>
    <row r="845" ht="15.75" customHeight="1">
      <c r="A845" s="1"/>
      <c r="B845" s="1"/>
      <c r="C845" s="1"/>
      <c r="D845" s="1"/>
    </row>
    <row r="846" ht="15.75" customHeight="1">
      <c r="A846" s="1"/>
      <c r="B846" s="1"/>
      <c r="C846" s="1"/>
      <c r="D846" s="1"/>
    </row>
    <row r="847" ht="15.75" customHeight="1">
      <c r="A847" s="1"/>
      <c r="B847" s="1"/>
      <c r="C847" s="1"/>
      <c r="D847" s="1"/>
    </row>
    <row r="848" ht="15.75" customHeight="1">
      <c r="A848" s="1"/>
      <c r="B848" s="1"/>
      <c r="C848" s="1"/>
      <c r="D848" s="1"/>
    </row>
    <row r="849" ht="15.75" customHeight="1">
      <c r="A849" s="1"/>
      <c r="B849" s="1"/>
      <c r="C849" s="1"/>
      <c r="D849" s="1"/>
    </row>
    <row r="850" ht="15.75" customHeight="1">
      <c r="A850" s="1"/>
      <c r="B850" s="1"/>
      <c r="C850" s="1"/>
      <c r="D850" s="1"/>
    </row>
    <row r="851" ht="15.75" customHeight="1">
      <c r="A851" s="1"/>
      <c r="B851" s="1"/>
      <c r="C851" s="1"/>
      <c r="D851" s="1"/>
    </row>
    <row r="852" ht="15.75" customHeight="1">
      <c r="A852" s="1"/>
      <c r="B852" s="1"/>
      <c r="C852" s="1"/>
      <c r="D852" s="1"/>
    </row>
    <row r="853" ht="15.75" customHeight="1">
      <c r="A853" s="1"/>
      <c r="B853" s="1"/>
      <c r="C853" s="1"/>
      <c r="D853" s="1"/>
    </row>
    <row r="854" ht="15.75" customHeight="1">
      <c r="A854" s="1"/>
      <c r="B854" s="1"/>
      <c r="C854" s="1"/>
      <c r="D854" s="1"/>
    </row>
    <row r="855" ht="15.75" customHeight="1">
      <c r="A855" s="1"/>
      <c r="B855" s="1"/>
      <c r="C855" s="1"/>
      <c r="D855" s="1"/>
    </row>
    <row r="856" ht="15.75" customHeight="1">
      <c r="A856" s="1"/>
      <c r="B856" s="1"/>
      <c r="C856" s="1"/>
      <c r="D856" s="1"/>
    </row>
    <row r="857" ht="15.75" customHeight="1">
      <c r="A857" s="1"/>
      <c r="B857" s="1"/>
      <c r="C857" s="1"/>
      <c r="D857" s="1"/>
    </row>
    <row r="858" ht="15.75" customHeight="1">
      <c r="A858" s="1"/>
      <c r="B858" s="1"/>
      <c r="C858" s="1"/>
      <c r="D858" s="1"/>
    </row>
    <row r="859" ht="15.75" customHeight="1">
      <c r="A859" s="1"/>
      <c r="B859" s="1"/>
      <c r="C859" s="1"/>
      <c r="D859" s="1"/>
    </row>
    <row r="860" ht="15.75" customHeight="1">
      <c r="A860" s="1"/>
      <c r="B860" s="1"/>
      <c r="C860" s="1"/>
      <c r="D860" s="1"/>
    </row>
    <row r="861" ht="15.75" customHeight="1">
      <c r="A861" s="1"/>
      <c r="B861" s="1"/>
      <c r="C861" s="1"/>
      <c r="D861" s="1"/>
    </row>
    <row r="862" ht="15.75" customHeight="1">
      <c r="A862" s="1"/>
      <c r="B862" s="1"/>
      <c r="C862" s="1"/>
      <c r="D862" s="1"/>
    </row>
    <row r="863" ht="15.75" customHeight="1">
      <c r="A863" s="1"/>
      <c r="B863" s="1"/>
      <c r="C863" s="1"/>
      <c r="D863" s="1"/>
    </row>
    <row r="864" ht="15.75" customHeight="1">
      <c r="A864" s="1"/>
      <c r="B864" s="1"/>
      <c r="C864" s="1"/>
      <c r="D864" s="1"/>
    </row>
    <row r="865" ht="15.75" customHeight="1">
      <c r="A865" s="1"/>
      <c r="B865" s="1"/>
      <c r="C865" s="1"/>
      <c r="D865" s="1"/>
    </row>
    <row r="866" ht="15.75" customHeight="1">
      <c r="A866" s="1"/>
      <c r="B866" s="1"/>
      <c r="C866" s="1"/>
      <c r="D866" s="1"/>
    </row>
    <row r="867" ht="15.75" customHeight="1">
      <c r="A867" s="1"/>
      <c r="B867" s="1"/>
      <c r="C867" s="1"/>
      <c r="D867" s="1"/>
    </row>
    <row r="868" ht="15.75" customHeight="1">
      <c r="A868" s="1"/>
      <c r="B868" s="1"/>
      <c r="C868" s="1"/>
      <c r="D868" s="1"/>
    </row>
    <row r="869" ht="15.75" customHeight="1">
      <c r="A869" s="1"/>
      <c r="B869" s="1"/>
      <c r="C869" s="1"/>
      <c r="D869" s="1"/>
    </row>
    <row r="870" ht="15.75" customHeight="1">
      <c r="A870" s="1"/>
      <c r="B870" s="1"/>
      <c r="C870" s="1"/>
      <c r="D870" s="1"/>
    </row>
    <row r="871" ht="15.75" customHeight="1">
      <c r="A871" s="1"/>
      <c r="B871" s="1"/>
      <c r="C871" s="1"/>
      <c r="D871" s="1"/>
    </row>
    <row r="872" ht="15.75" customHeight="1">
      <c r="A872" s="1"/>
      <c r="B872" s="1"/>
      <c r="C872" s="1"/>
      <c r="D872" s="1"/>
    </row>
    <row r="873" ht="15.75" customHeight="1">
      <c r="A873" s="1"/>
      <c r="B873" s="1"/>
      <c r="C873" s="1"/>
      <c r="D873" s="1"/>
    </row>
    <row r="874" ht="15.75" customHeight="1">
      <c r="A874" s="1"/>
      <c r="B874" s="1"/>
      <c r="C874" s="1"/>
      <c r="D874" s="1"/>
    </row>
    <row r="875" ht="15.75" customHeight="1">
      <c r="A875" s="1"/>
      <c r="B875" s="1"/>
      <c r="C875" s="1"/>
      <c r="D875" s="1"/>
    </row>
    <row r="876" ht="15.75" customHeight="1">
      <c r="A876" s="1"/>
      <c r="B876" s="1"/>
      <c r="C876" s="1"/>
      <c r="D876" s="1"/>
    </row>
    <row r="877" ht="15.75" customHeight="1">
      <c r="A877" s="1"/>
      <c r="B877" s="1"/>
      <c r="C877" s="1"/>
      <c r="D877" s="1"/>
    </row>
    <row r="878" ht="15.75" customHeight="1">
      <c r="A878" s="1"/>
      <c r="B878" s="1"/>
      <c r="C878" s="1"/>
      <c r="D878" s="1"/>
    </row>
    <row r="879" ht="15.75" customHeight="1">
      <c r="A879" s="1"/>
      <c r="B879" s="1"/>
      <c r="C879" s="1"/>
      <c r="D879" s="1"/>
    </row>
    <row r="880" ht="15.75" customHeight="1">
      <c r="A880" s="1"/>
      <c r="B880" s="1"/>
      <c r="C880" s="1"/>
      <c r="D880" s="1"/>
    </row>
    <row r="881" ht="15.75" customHeight="1">
      <c r="A881" s="1"/>
      <c r="B881" s="1"/>
      <c r="C881" s="1"/>
      <c r="D881" s="1"/>
    </row>
    <row r="882" ht="15.75" customHeight="1">
      <c r="A882" s="1"/>
      <c r="B882" s="1"/>
      <c r="C882" s="1"/>
      <c r="D882" s="1"/>
    </row>
    <row r="883" ht="15.75" customHeight="1">
      <c r="A883" s="1"/>
      <c r="B883" s="1"/>
      <c r="C883" s="1"/>
      <c r="D883" s="1"/>
    </row>
    <row r="884" ht="15.75" customHeight="1">
      <c r="A884" s="1"/>
      <c r="B884" s="1"/>
      <c r="C884" s="1"/>
      <c r="D884" s="1"/>
    </row>
    <row r="885" ht="15.75" customHeight="1">
      <c r="A885" s="1"/>
      <c r="B885" s="1"/>
      <c r="C885" s="1"/>
      <c r="D885" s="1"/>
    </row>
    <row r="886" ht="15.75" customHeight="1">
      <c r="A886" s="1"/>
      <c r="B886" s="1"/>
      <c r="C886" s="1"/>
      <c r="D886" s="1"/>
    </row>
    <row r="887" ht="15.75" customHeight="1">
      <c r="A887" s="1"/>
      <c r="B887" s="1"/>
      <c r="C887" s="1"/>
      <c r="D887" s="1"/>
    </row>
    <row r="888" ht="15.75" customHeight="1">
      <c r="A888" s="1"/>
      <c r="B888" s="1"/>
      <c r="C888" s="1"/>
      <c r="D888" s="1"/>
    </row>
    <row r="889" ht="15.75" customHeight="1">
      <c r="A889" s="1"/>
      <c r="B889" s="1"/>
      <c r="C889" s="1"/>
      <c r="D889" s="1"/>
    </row>
    <row r="890" ht="15.75" customHeight="1">
      <c r="A890" s="1"/>
      <c r="B890" s="1"/>
      <c r="C890" s="1"/>
      <c r="D890" s="1"/>
    </row>
    <row r="891" ht="15.75" customHeight="1">
      <c r="A891" s="1"/>
      <c r="B891" s="1"/>
      <c r="C891" s="1"/>
      <c r="D891" s="1"/>
    </row>
    <row r="892" ht="15.75" customHeight="1">
      <c r="A892" s="1"/>
      <c r="B892" s="1"/>
      <c r="C892" s="1"/>
      <c r="D892" s="1"/>
    </row>
    <row r="893" ht="15.75" customHeight="1">
      <c r="A893" s="1"/>
      <c r="B893" s="1"/>
      <c r="C893" s="1"/>
      <c r="D893" s="1"/>
    </row>
    <row r="894" ht="15.75" customHeight="1">
      <c r="A894" s="1"/>
      <c r="B894" s="1"/>
      <c r="C894" s="1"/>
      <c r="D894" s="1"/>
    </row>
    <row r="895" ht="15.75" customHeight="1">
      <c r="A895" s="1"/>
      <c r="B895" s="1"/>
      <c r="C895" s="1"/>
      <c r="D895" s="1"/>
    </row>
    <row r="896" ht="15.75" customHeight="1">
      <c r="A896" s="1"/>
      <c r="B896" s="1"/>
      <c r="C896" s="1"/>
      <c r="D896" s="1"/>
    </row>
    <row r="897" ht="15.75" customHeight="1">
      <c r="A897" s="1"/>
      <c r="B897" s="1"/>
      <c r="C897" s="1"/>
      <c r="D897" s="1"/>
    </row>
    <row r="898" ht="15.75" customHeight="1">
      <c r="A898" s="1"/>
      <c r="B898" s="1"/>
      <c r="C898" s="1"/>
      <c r="D898" s="1"/>
    </row>
    <row r="899" ht="15.75" customHeight="1">
      <c r="A899" s="1"/>
      <c r="B899" s="1"/>
      <c r="C899" s="1"/>
      <c r="D899" s="1"/>
    </row>
    <row r="900" ht="15.75" customHeight="1">
      <c r="A900" s="1"/>
      <c r="B900" s="1"/>
      <c r="C900" s="1"/>
      <c r="D900" s="1"/>
    </row>
    <row r="901" ht="15.75" customHeight="1">
      <c r="A901" s="1"/>
      <c r="B901" s="1"/>
      <c r="C901" s="1"/>
      <c r="D901" s="1"/>
    </row>
    <row r="902" ht="15.75" customHeight="1">
      <c r="A902" s="1"/>
      <c r="B902" s="1"/>
      <c r="C902" s="1"/>
      <c r="D902" s="1"/>
    </row>
    <row r="903" ht="15.75" customHeight="1">
      <c r="A903" s="1"/>
      <c r="B903" s="1"/>
      <c r="C903" s="1"/>
      <c r="D903" s="1"/>
    </row>
    <row r="904" ht="15.75" customHeight="1">
      <c r="A904" s="1"/>
      <c r="B904" s="1"/>
      <c r="C904" s="1"/>
      <c r="D904" s="1"/>
    </row>
    <row r="905" ht="15.75" customHeight="1">
      <c r="A905" s="1"/>
      <c r="B905" s="1"/>
      <c r="C905" s="1"/>
      <c r="D905" s="1"/>
    </row>
    <row r="906" ht="15.75" customHeight="1">
      <c r="A906" s="1"/>
      <c r="B906" s="1"/>
      <c r="C906" s="1"/>
      <c r="D906" s="1"/>
    </row>
    <row r="907" ht="15.75" customHeight="1">
      <c r="A907" s="1"/>
      <c r="B907" s="1"/>
      <c r="C907" s="1"/>
      <c r="D907" s="1"/>
    </row>
    <row r="908" ht="15.75" customHeight="1">
      <c r="A908" s="1"/>
      <c r="B908" s="1"/>
      <c r="C908" s="1"/>
      <c r="D908" s="1"/>
    </row>
    <row r="909" ht="15.75" customHeight="1">
      <c r="A909" s="1"/>
      <c r="B909" s="1"/>
      <c r="C909" s="1"/>
      <c r="D909" s="1"/>
    </row>
    <row r="910" ht="15.75" customHeight="1">
      <c r="A910" s="1"/>
      <c r="B910" s="1"/>
      <c r="C910" s="1"/>
      <c r="D910" s="1"/>
    </row>
    <row r="911" ht="15.75" customHeight="1">
      <c r="A911" s="1"/>
      <c r="B911" s="1"/>
      <c r="C911" s="1"/>
      <c r="D911" s="1"/>
    </row>
    <row r="912" ht="15.75" customHeight="1">
      <c r="A912" s="1"/>
      <c r="B912" s="1"/>
      <c r="C912" s="1"/>
      <c r="D912" s="1"/>
    </row>
    <row r="913" ht="15.75" customHeight="1">
      <c r="A913" s="1"/>
      <c r="B913" s="1"/>
      <c r="C913" s="1"/>
      <c r="D913" s="1"/>
    </row>
    <row r="914" ht="15.75" customHeight="1">
      <c r="A914" s="1"/>
      <c r="B914" s="1"/>
      <c r="C914" s="1"/>
      <c r="D914" s="1"/>
    </row>
    <row r="915" ht="15.75" customHeight="1">
      <c r="A915" s="1"/>
      <c r="B915" s="1"/>
      <c r="C915" s="1"/>
      <c r="D915" s="1"/>
    </row>
    <row r="916" ht="15.75" customHeight="1">
      <c r="A916" s="1"/>
      <c r="B916" s="1"/>
      <c r="C916" s="1"/>
      <c r="D916" s="1"/>
    </row>
    <row r="917" ht="15.75" customHeight="1">
      <c r="A917" s="1"/>
      <c r="B917" s="1"/>
      <c r="C917" s="1"/>
      <c r="D917" s="1"/>
    </row>
    <row r="918" ht="15.75" customHeight="1">
      <c r="A918" s="1"/>
      <c r="B918" s="1"/>
      <c r="C918" s="1"/>
      <c r="D918" s="1"/>
    </row>
    <row r="919" ht="15.75" customHeight="1">
      <c r="A919" s="1"/>
      <c r="B919" s="1"/>
      <c r="C919" s="1"/>
      <c r="D919" s="1"/>
    </row>
    <row r="920" ht="15.75" customHeight="1">
      <c r="A920" s="1"/>
      <c r="B920" s="1"/>
      <c r="C920" s="1"/>
      <c r="D920" s="1"/>
    </row>
    <row r="921" ht="15.75" customHeight="1">
      <c r="A921" s="1"/>
      <c r="B921" s="1"/>
      <c r="C921" s="1"/>
      <c r="D921" s="1"/>
    </row>
    <row r="922" ht="15.75" customHeight="1">
      <c r="A922" s="1"/>
      <c r="B922" s="1"/>
      <c r="C922" s="1"/>
      <c r="D922" s="1"/>
    </row>
    <row r="923" ht="15.75" customHeight="1">
      <c r="A923" s="1"/>
      <c r="B923" s="1"/>
      <c r="C923" s="1"/>
      <c r="D923" s="1"/>
    </row>
    <row r="924" ht="15.75" customHeight="1">
      <c r="A924" s="1"/>
      <c r="B924" s="1"/>
      <c r="C924" s="1"/>
      <c r="D924" s="1"/>
    </row>
    <row r="925" ht="15.75" customHeight="1">
      <c r="A925" s="1"/>
      <c r="B925" s="1"/>
      <c r="C925" s="1"/>
      <c r="D925" s="1"/>
    </row>
    <row r="926" ht="15.75" customHeight="1">
      <c r="A926" s="1"/>
      <c r="B926" s="1"/>
      <c r="C926" s="1"/>
      <c r="D926" s="1"/>
    </row>
    <row r="927" ht="15.75" customHeight="1">
      <c r="A927" s="1"/>
      <c r="B927" s="1"/>
      <c r="C927" s="1"/>
      <c r="D927" s="1"/>
    </row>
    <row r="928" ht="15.75" customHeight="1">
      <c r="A928" s="1"/>
      <c r="B928" s="1"/>
      <c r="C928" s="1"/>
      <c r="D928" s="1"/>
    </row>
    <row r="929" ht="15.75" customHeight="1">
      <c r="A929" s="1"/>
      <c r="B929" s="1"/>
      <c r="C929" s="1"/>
      <c r="D929" s="1"/>
    </row>
    <row r="930" ht="15.75" customHeight="1">
      <c r="A930" s="1"/>
      <c r="B930" s="1"/>
      <c r="C930" s="1"/>
      <c r="D930" s="1"/>
    </row>
    <row r="931" ht="15.75" customHeight="1">
      <c r="A931" s="1"/>
      <c r="B931" s="1"/>
      <c r="C931" s="1"/>
      <c r="D931" s="1"/>
    </row>
    <row r="932" ht="15.75" customHeight="1">
      <c r="A932" s="1"/>
      <c r="B932" s="1"/>
      <c r="C932" s="1"/>
      <c r="D932" s="1"/>
    </row>
    <row r="933" ht="15.75" customHeight="1">
      <c r="A933" s="1"/>
      <c r="B933" s="1"/>
      <c r="C933" s="1"/>
      <c r="D933" s="1"/>
    </row>
    <row r="934" ht="15.75" customHeight="1">
      <c r="A934" s="1"/>
      <c r="B934" s="1"/>
      <c r="C934" s="1"/>
      <c r="D934" s="1"/>
    </row>
    <row r="935" ht="15.75" customHeight="1">
      <c r="A935" s="1"/>
      <c r="B935" s="1"/>
      <c r="C935" s="1"/>
      <c r="D935" s="1"/>
    </row>
    <row r="936" ht="15.75" customHeight="1">
      <c r="A936" s="1"/>
      <c r="B936" s="1"/>
      <c r="C936" s="1"/>
      <c r="D936" s="1"/>
    </row>
    <row r="937" ht="15.75" customHeight="1">
      <c r="A937" s="1"/>
      <c r="B937" s="1"/>
      <c r="C937" s="1"/>
      <c r="D937" s="1"/>
    </row>
    <row r="938" ht="15.75" customHeight="1">
      <c r="A938" s="1"/>
      <c r="B938" s="1"/>
      <c r="C938" s="1"/>
      <c r="D938" s="1"/>
    </row>
    <row r="939" ht="15.75" customHeight="1">
      <c r="A939" s="1"/>
      <c r="B939" s="1"/>
      <c r="C939" s="1"/>
      <c r="D939" s="1"/>
    </row>
    <row r="940" ht="15.75" customHeight="1">
      <c r="A940" s="1"/>
      <c r="B940" s="1"/>
      <c r="C940" s="1"/>
      <c r="D940" s="1"/>
    </row>
    <row r="941" ht="15.75" customHeight="1">
      <c r="A941" s="1"/>
      <c r="B941" s="1"/>
      <c r="C941" s="1"/>
      <c r="D941" s="1"/>
    </row>
    <row r="942" ht="15.75" customHeight="1">
      <c r="A942" s="1"/>
      <c r="B942" s="1"/>
      <c r="C942" s="1"/>
      <c r="D942" s="1"/>
    </row>
    <row r="943" ht="15.75" customHeight="1">
      <c r="A943" s="1"/>
      <c r="B943" s="1"/>
      <c r="C943" s="1"/>
      <c r="D943" s="1"/>
    </row>
    <row r="944" ht="15.75" customHeight="1">
      <c r="A944" s="1"/>
      <c r="B944" s="1"/>
      <c r="C944" s="1"/>
      <c r="D944" s="1"/>
    </row>
    <row r="945" ht="15.75" customHeight="1">
      <c r="A945" s="1"/>
      <c r="B945" s="1"/>
      <c r="C945" s="1"/>
      <c r="D945" s="1"/>
    </row>
    <row r="946" ht="15.75" customHeight="1">
      <c r="A946" s="1"/>
      <c r="B946" s="1"/>
      <c r="C946" s="1"/>
      <c r="D946" s="1"/>
    </row>
    <row r="947" ht="15.75" customHeight="1">
      <c r="A947" s="1"/>
      <c r="B947" s="1"/>
      <c r="C947" s="1"/>
      <c r="D947" s="1"/>
    </row>
    <row r="948" ht="15.75" customHeight="1">
      <c r="A948" s="1"/>
      <c r="B948" s="1"/>
      <c r="C948" s="1"/>
      <c r="D948" s="1"/>
    </row>
    <row r="949" ht="15.75" customHeight="1">
      <c r="A949" s="1"/>
      <c r="B949" s="1"/>
      <c r="C949" s="1"/>
      <c r="D949" s="1"/>
    </row>
    <row r="950" ht="15.75" customHeight="1">
      <c r="A950" s="1"/>
      <c r="B950" s="1"/>
      <c r="C950" s="1"/>
      <c r="D950" s="1"/>
    </row>
    <row r="951" ht="15.75" customHeight="1">
      <c r="A951" s="1"/>
      <c r="B951" s="1"/>
      <c r="C951" s="1"/>
      <c r="D951" s="1"/>
    </row>
    <row r="952" ht="15.75" customHeight="1">
      <c r="A952" s="1"/>
      <c r="B952" s="1"/>
      <c r="C952" s="1"/>
      <c r="D952" s="1"/>
    </row>
    <row r="953" ht="15.75" customHeight="1">
      <c r="A953" s="1"/>
      <c r="B953" s="1"/>
      <c r="C953" s="1"/>
      <c r="D953" s="1"/>
    </row>
    <row r="954" ht="15.75" customHeight="1">
      <c r="A954" s="1"/>
      <c r="B954" s="1"/>
      <c r="C954" s="1"/>
      <c r="D954" s="1"/>
    </row>
    <row r="955" ht="15.75" customHeight="1">
      <c r="A955" s="1"/>
      <c r="B955" s="1"/>
      <c r="C955" s="1"/>
      <c r="D955" s="1"/>
    </row>
    <row r="956" ht="15.75" customHeight="1">
      <c r="A956" s="1"/>
      <c r="B956" s="1"/>
      <c r="C956" s="1"/>
      <c r="D956" s="1"/>
    </row>
    <row r="957" ht="15.75" customHeight="1">
      <c r="A957" s="1"/>
      <c r="B957" s="1"/>
      <c r="C957" s="1"/>
      <c r="D957" s="1"/>
    </row>
    <row r="958" ht="15.75" customHeight="1">
      <c r="A958" s="1"/>
      <c r="B958" s="1"/>
      <c r="C958" s="1"/>
      <c r="D958" s="1"/>
    </row>
    <row r="959" ht="15.75" customHeight="1">
      <c r="A959" s="1"/>
      <c r="B959" s="1"/>
      <c r="C959" s="1"/>
      <c r="D959" s="1"/>
    </row>
    <row r="960" ht="15.75" customHeight="1">
      <c r="A960" s="1"/>
      <c r="B960" s="1"/>
      <c r="C960" s="1"/>
      <c r="D960" s="1"/>
    </row>
    <row r="961" ht="15.75" customHeight="1">
      <c r="A961" s="1"/>
      <c r="B961" s="1"/>
      <c r="C961" s="1"/>
      <c r="D961" s="1"/>
    </row>
    <row r="962" ht="15.75" customHeight="1">
      <c r="A962" s="1"/>
      <c r="B962" s="1"/>
      <c r="C962" s="1"/>
      <c r="D962" s="1"/>
    </row>
    <row r="963" ht="15.75" customHeight="1">
      <c r="A963" s="1"/>
      <c r="B963" s="1"/>
      <c r="C963" s="1"/>
      <c r="D963" s="1"/>
    </row>
    <row r="964" ht="15.75" customHeight="1">
      <c r="A964" s="1"/>
      <c r="B964" s="1"/>
      <c r="C964" s="1"/>
      <c r="D964" s="1"/>
    </row>
    <row r="965" ht="15.75" customHeight="1">
      <c r="A965" s="1"/>
      <c r="B965" s="1"/>
      <c r="C965" s="1"/>
      <c r="D965" s="1"/>
    </row>
    <row r="966" ht="15.75" customHeight="1">
      <c r="A966" s="1"/>
      <c r="B966" s="1"/>
      <c r="C966" s="1"/>
      <c r="D966" s="1"/>
    </row>
    <row r="967" ht="15.75" customHeight="1">
      <c r="A967" s="1"/>
      <c r="B967" s="1"/>
      <c r="C967" s="1"/>
      <c r="D967" s="1"/>
    </row>
    <row r="968" ht="15.75" customHeight="1">
      <c r="A968" s="1"/>
      <c r="B968" s="1"/>
      <c r="C968" s="1"/>
      <c r="D968" s="1"/>
    </row>
    <row r="969" ht="15.75" customHeight="1">
      <c r="A969" s="1"/>
      <c r="B969" s="1"/>
      <c r="C969" s="1"/>
      <c r="D969" s="1"/>
    </row>
    <row r="970" ht="15.75" customHeight="1">
      <c r="A970" s="1"/>
      <c r="B970" s="1"/>
      <c r="C970" s="1"/>
      <c r="D970" s="1"/>
    </row>
    <row r="971" ht="15.75" customHeight="1">
      <c r="A971" s="1"/>
      <c r="B971" s="1"/>
      <c r="C971" s="1"/>
      <c r="D971" s="1"/>
    </row>
    <row r="972" ht="15.75" customHeight="1">
      <c r="A972" s="1"/>
      <c r="B972" s="1"/>
      <c r="C972" s="1"/>
      <c r="D972" s="1"/>
    </row>
    <row r="973" ht="15.75" customHeight="1">
      <c r="A973" s="1"/>
      <c r="B973" s="1"/>
      <c r="C973" s="1"/>
      <c r="D973" s="1"/>
    </row>
    <row r="974" ht="15.75" customHeight="1">
      <c r="A974" s="1"/>
      <c r="B974" s="1"/>
      <c r="C974" s="1"/>
      <c r="D974" s="1"/>
    </row>
    <row r="975" ht="15.75" customHeight="1">
      <c r="A975" s="1"/>
      <c r="B975" s="1"/>
      <c r="C975" s="1"/>
      <c r="D975" s="1"/>
    </row>
    <row r="976" ht="15.75" customHeight="1">
      <c r="A976" s="1"/>
      <c r="B976" s="1"/>
      <c r="C976" s="1"/>
      <c r="D976" s="1"/>
    </row>
    <row r="977" ht="15.75" customHeight="1">
      <c r="A977" s="1"/>
      <c r="B977" s="1"/>
      <c r="C977" s="1"/>
      <c r="D977" s="1"/>
    </row>
    <row r="978" ht="15.75" customHeight="1">
      <c r="A978" s="1"/>
      <c r="B978" s="1"/>
      <c r="C978" s="1"/>
      <c r="D978" s="1"/>
    </row>
    <row r="979" ht="15.75" customHeight="1">
      <c r="A979" s="1"/>
      <c r="B979" s="1"/>
      <c r="C979" s="1"/>
      <c r="D979" s="1"/>
    </row>
    <row r="980" ht="15.75" customHeight="1">
      <c r="A980" s="1"/>
      <c r="B980" s="1"/>
      <c r="C980" s="1"/>
      <c r="D980" s="1"/>
    </row>
    <row r="981" ht="15.75" customHeight="1">
      <c r="A981" s="1"/>
      <c r="B981" s="1"/>
      <c r="C981" s="1"/>
      <c r="D981" s="1"/>
    </row>
    <row r="982" ht="15.75" customHeight="1">
      <c r="A982" s="1"/>
      <c r="B982" s="1"/>
      <c r="C982" s="1"/>
      <c r="D982" s="1"/>
    </row>
    <row r="983" ht="15.75" customHeight="1">
      <c r="A983" s="1"/>
      <c r="B983" s="1"/>
      <c r="C983" s="1"/>
      <c r="D983" s="1"/>
    </row>
    <row r="984" ht="15.75" customHeight="1">
      <c r="A984" s="1"/>
      <c r="B984" s="1"/>
      <c r="C984" s="1"/>
      <c r="D984" s="1"/>
    </row>
    <row r="985" ht="15.75" customHeight="1">
      <c r="A985" s="1"/>
      <c r="B985" s="1"/>
      <c r="C985" s="1"/>
      <c r="D985" s="1"/>
    </row>
    <row r="986" ht="15.75" customHeight="1">
      <c r="A986" s="1"/>
      <c r="B986" s="1"/>
      <c r="C986" s="1"/>
      <c r="D986" s="1"/>
    </row>
    <row r="987" ht="15.75" customHeight="1">
      <c r="A987" s="1"/>
      <c r="B987" s="1"/>
      <c r="C987" s="1"/>
      <c r="D987" s="1"/>
    </row>
    <row r="988" ht="15.75" customHeight="1">
      <c r="A988" s="1"/>
      <c r="B988" s="1"/>
      <c r="C988" s="1"/>
      <c r="D988" s="1"/>
    </row>
    <row r="989" ht="15.75" customHeight="1">
      <c r="A989" s="1"/>
      <c r="B989" s="1"/>
      <c r="C989" s="1"/>
      <c r="D989" s="1"/>
    </row>
    <row r="990" ht="15.75" customHeight="1">
      <c r="A990" s="1"/>
      <c r="B990" s="1"/>
      <c r="C990" s="1"/>
      <c r="D990" s="1"/>
    </row>
    <row r="991" ht="15.75" customHeight="1">
      <c r="A991" s="1"/>
      <c r="B991" s="1"/>
      <c r="C991" s="1"/>
      <c r="D991" s="1"/>
    </row>
    <row r="992" ht="15.75" customHeight="1">
      <c r="A992" s="1"/>
      <c r="B992" s="1"/>
      <c r="C992" s="1"/>
      <c r="D992" s="1"/>
    </row>
    <row r="993" ht="15.75" customHeight="1">
      <c r="A993" s="1"/>
      <c r="B993" s="1"/>
      <c r="C993" s="1"/>
      <c r="D993" s="1"/>
    </row>
    <row r="994" ht="15.75" customHeight="1">
      <c r="A994" s="1"/>
      <c r="B994" s="1"/>
      <c r="C994" s="1"/>
      <c r="D994" s="1"/>
    </row>
    <row r="995" ht="15.75" customHeight="1">
      <c r="A995" s="1"/>
      <c r="B995" s="1"/>
      <c r="C995" s="1"/>
      <c r="D995" s="1"/>
    </row>
    <row r="996" ht="15.75" customHeight="1">
      <c r="A996" s="1"/>
      <c r="B996" s="1"/>
      <c r="C996" s="1"/>
      <c r="D996" s="1"/>
    </row>
    <row r="997" ht="15.75" customHeight="1">
      <c r="A997" s="1"/>
      <c r="B997" s="1"/>
      <c r="C997" s="1"/>
      <c r="D997" s="1"/>
    </row>
    <row r="998" ht="15.75" customHeight="1">
      <c r="A998" s="1"/>
      <c r="B998" s="1"/>
      <c r="C998" s="1"/>
      <c r="D998" s="1"/>
    </row>
    <row r="999" ht="15.75" customHeight="1">
      <c r="A999" s="1"/>
      <c r="B999" s="1"/>
      <c r="C999" s="1"/>
      <c r="D999" s="1"/>
    </row>
    <row r="1000" ht="15.75" customHeight="1">
      <c r="A1000" s="1"/>
      <c r="B1000" s="1"/>
      <c r="C1000" s="1"/>
      <c r="D1000" s="1"/>
    </row>
  </sheetData>
  <mergeCells count="4">
    <mergeCell ref="B2:D2"/>
    <mergeCell ref="B3:D3"/>
    <mergeCell ref="B30:D30"/>
    <mergeCell ref="B31:D3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42.0"/>
    <col customWidth="1" min="3" max="11" width="11.0"/>
    <col customWidth="1" min="12" max="12" width="46.0"/>
    <col customWidth="1" min="13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4.0" customHeight="1">
      <c r="A2" s="1"/>
      <c r="B2" s="7" t="s">
        <v>4</v>
      </c>
      <c r="C2" s="3"/>
      <c r="D2" s="3"/>
      <c r="E2" s="3"/>
      <c r="F2" s="3"/>
      <c r="G2" s="3"/>
      <c r="H2" s="3"/>
      <c r="I2" s="3"/>
      <c r="J2" s="3"/>
      <c r="K2" s="3"/>
      <c r="L2" s="4"/>
    </row>
    <row r="3" ht="27.75" customHeight="1">
      <c r="A3" s="1"/>
      <c r="B3" s="5" t="s">
        <v>7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5.0" customHeight="1">
      <c r="A5" s="1"/>
      <c r="B5" s="1"/>
      <c r="C5" s="13" t="s">
        <v>10</v>
      </c>
      <c r="D5" s="14"/>
      <c r="E5" s="15"/>
      <c r="F5" s="13" t="s">
        <v>14</v>
      </c>
      <c r="G5" s="15"/>
      <c r="H5" s="17" t="s">
        <v>18</v>
      </c>
      <c r="I5" s="15"/>
      <c r="J5" s="13" t="s">
        <v>23</v>
      </c>
      <c r="K5" s="15"/>
      <c r="L5" s="1"/>
    </row>
    <row r="6" ht="15.0" customHeight="1">
      <c r="A6" s="1"/>
      <c r="B6" s="22" t="s">
        <v>21</v>
      </c>
      <c r="C6" s="19" t="s">
        <v>38</v>
      </c>
      <c r="D6" s="19" t="s">
        <v>39</v>
      </c>
      <c r="E6" s="19" t="s">
        <v>42</v>
      </c>
      <c r="F6" s="19" t="s">
        <v>45</v>
      </c>
      <c r="G6" s="19" t="s">
        <v>46</v>
      </c>
      <c r="H6" s="19" t="s">
        <v>47</v>
      </c>
      <c r="I6" s="19" t="s">
        <v>48</v>
      </c>
      <c r="J6" s="19" t="s">
        <v>49</v>
      </c>
      <c r="K6" s="19" t="s">
        <v>50</v>
      </c>
      <c r="L6" s="16" t="s">
        <v>51</v>
      </c>
    </row>
    <row r="7" ht="15.0" customHeight="1">
      <c r="A7" s="1"/>
      <c r="B7" s="25" t="s">
        <v>53</v>
      </c>
      <c r="C7" s="26"/>
      <c r="D7" s="26"/>
      <c r="E7" s="26"/>
      <c r="F7" s="26"/>
      <c r="G7" s="26"/>
      <c r="H7" s="26"/>
      <c r="I7" s="26"/>
      <c r="J7" s="26"/>
      <c r="K7" s="26"/>
      <c r="L7" s="26"/>
    </row>
    <row r="8" ht="15.0" customHeight="1">
      <c r="A8" s="1"/>
      <c r="B8" s="23" t="s">
        <v>59</v>
      </c>
      <c r="C8" s="27"/>
      <c r="D8" s="27"/>
      <c r="E8" s="28">
        <v>11.6</v>
      </c>
      <c r="F8" s="29">
        <v>2.13</v>
      </c>
      <c r="G8" s="29">
        <v>4.66</v>
      </c>
      <c r="H8" s="29">
        <v>7.52</v>
      </c>
      <c r="I8" s="29">
        <v>10.1</v>
      </c>
      <c r="J8" s="31"/>
      <c r="K8" s="31"/>
      <c r="L8" s="12" t="s">
        <v>70</v>
      </c>
    </row>
    <row r="9" ht="15.0" customHeight="1">
      <c r="A9" s="1"/>
      <c r="B9" s="23" t="s">
        <v>73</v>
      </c>
      <c r="C9" s="27"/>
      <c r="D9" s="27"/>
      <c r="E9" s="28">
        <v>12.8</v>
      </c>
      <c r="F9" s="29">
        <v>2.88</v>
      </c>
      <c r="G9" s="29">
        <v>3.33</v>
      </c>
      <c r="H9" s="29">
        <v>6.99</v>
      </c>
      <c r="I9" s="29">
        <v>11.92</v>
      </c>
      <c r="J9" s="31"/>
      <c r="K9" s="31"/>
      <c r="L9" s="12" t="s">
        <v>79</v>
      </c>
    </row>
    <row r="10" ht="15.0" customHeight="1">
      <c r="A10" s="1"/>
      <c r="B10" s="23" t="s">
        <v>82</v>
      </c>
      <c r="C10" s="27"/>
      <c r="D10" s="27"/>
      <c r="E10" s="28">
        <v>0.5</v>
      </c>
      <c r="F10" s="29">
        <v>0.13</v>
      </c>
      <c r="G10" s="29">
        <v>0.23</v>
      </c>
      <c r="H10" s="29">
        <v>0.37</v>
      </c>
      <c r="I10" s="29">
        <v>0.51</v>
      </c>
      <c r="J10" s="31"/>
      <c r="K10" s="31"/>
      <c r="L10" s="12" t="s">
        <v>87</v>
      </c>
    </row>
    <row r="11" ht="15.0" customHeight="1">
      <c r="A11" s="1"/>
      <c r="B11" s="9" t="s">
        <v>92</v>
      </c>
      <c r="C11" s="28">
        <v>26.1</v>
      </c>
      <c r="D11" s="28">
        <v>23.1</v>
      </c>
      <c r="E11" s="28">
        <v>26.1</v>
      </c>
      <c r="F11" s="29">
        <v>5.14</v>
      </c>
      <c r="G11" s="29">
        <v>8.22</v>
      </c>
      <c r="H11" s="29">
        <v>14.89</v>
      </c>
      <c r="I11" s="29">
        <v>22.53</v>
      </c>
      <c r="J11" s="29">
        <v>4.0</v>
      </c>
      <c r="K11" s="29">
        <v>5.2</v>
      </c>
      <c r="L11" s="12" t="s">
        <v>97</v>
      </c>
    </row>
    <row r="12" ht="15.0" customHeight="1">
      <c r="A12" s="1"/>
      <c r="B12" s="23" t="s">
        <v>98</v>
      </c>
      <c r="C12" s="27"/>
      <c r="D12" s="27"/>
      <c r="E12" s="27"/>
      <c r="F12" s="29">
        <v>1.2</v>
      </c>
      <c r="G12" s="29">
        <v>1.94</v>
      </c>
      <c r="H12" s="29">
        <v>3.36</v>
      </c>
      <c r="I12" s="29">
        <v>4.6</v>
      </c>
      <c r="J12" s="31"/>
      <c r="K12" s="31"/>
      <c r="L12" s="12" t="s">
        <v>100</v>
      </c>
    </row>
    <row r="13" ht="15.0" customHeight="1">
      <c r="A13" s="1"/>
      <c r="B13" s="23" t="s">
        <v>102</v>
      </c>
      <c r="C13" s="27"/>
      <c r="D13" s="27"/>
      <c r="E13" s="27"/>
      <c r="F13" s="29">
        <v>0.65</v>
      </c>
      <c r="G13" s="29">
        <v>1.92</v>
      </c>
      <c r="H13" s="29">
        <v>2.94</v>
      </c>
      <c r="I13" s="29">
        <v>4.43</v>
      </c>
      <c r="J13" s="31"/>
      <c r="K13" s="31"/>
      <c r="L13" s="12" t="s">
        <v>106</v>
      </c>
    </row>
    <row r="14" ht="15.0" customHeight="1">
      <c r="A14" s="1"/>
      <c r="B14" s="23" t="s">
        <v>108</v>
      </c>
      <c r="C14" s="27"/>
      <c r="D14" s="27"/>
      <c r="E14" s="27"/>
      <c r="F14" s="29">
        <v>0.04</v>
      </c>
      <c r="G14" s="29">
        <v>0.08</v>
      </c>
      <c r="H14" s="29">
        <v>0.13</v>
      </c>
      <c r="I14" s="29">
        <v>0.18</v>
      </c>
      <c r="J14" s="31"/>
      <c r="K14" s="31"/>
      <c r="L14" s="12" t="s">
        <v>111</v>
      </c>
    </row>
    <row r="15" ht="15.0" customHeight="1">
      <c r="A15" s="1"/>
      <c r="B15" s="23" t="s">
        <v>113</v>
      </c>
      <c r="C15" s="27"/>
      <c r="D15" s="27"/>
      <c r="E15" s="27"/>
      <c r="F15" s="29">
        <v>1.88</v>
      </c>
      <c r="G15" s="29">
        <v>3.94</v>
      </c>
      <c r="H15" s="29">
        <v>6.44</v>
      </c>
      <c r="I15" s="29">
        <v>9.21</v>
      </c>
      <c r="J15" s="31"/>
      <c r="K15" s="31"/>
      <c r="L15" s="12" t="s">
        <v>116</v>
      </c>
    </row>
    <row r="16" ht="15.0" customHeight="1">
      <c r="A16" s="1"/>
      <c r="B16" s="9" t="s">
        <v>117</v>
      </c>
      <c r="C16" s="27"/>
      <c r="D16" s="27"/>
      <c r="E16" s="27"/>
      <c r="F16" s="29">
        <v>3.26</v>
      </c>
      <c r="G16" s="29">
        <v>4.29</v>
      </c>
      <c r="H16" s="29">
        <v>8.45</v>
      </c>
      <c r="I16" s="29">
        <v>13.32</v>
      </c>
      <c r="J16" s="31"/>
      <c r="K16" s="31"/>
      <c r="L16" s="12" t="s">
        <v>121</v>
      </c>
    </row>
    <row r="17" ht="15.0" customHeight="1">
      <c r="A17" s="1"/>
      <c r="B17" s="23" t="s">
        <v>122</v>
      </c>
      <c r="C17" s="27"/>
      <c r="D17" s="27"/>
      <c r="E17" s="27"/>
      <c r="F17" s="29">
        <v>1.8</v>
      </c>
      <c r="G17" s="29">
        <v>1.94</v>
      </c>
      <c r="H17" s="29">
        <v>6.3</v>
      </c>
      <c r="I17" s="29">
        <v>6.0</v>
      </c>
      <c r="J17" s="31"/>
      <c r="K17" s="31"/>
      <c r="L17" s="12" t="s">
        <v>124</v>
      </c>
    </row>
    <row r="18" ht="15.0" customHeight="1">
      <c r="A18" s="1"/>
      <c r="B18" s="23" t="s">
        <v>125</v>
      </c>
      <c r="C18" s="27"/>
      <c r="D18" s="27"/>
      <c r="E18" s="27"/>
      <c r="F18" s="29">
        <v>0.13</v>
      </c>
      <c r="G18" s="29">
        <v>0.23</v>
      </c>
      <c r="H18" s="29">
        <v>0.43</v>
      </c>
      <c r="I18" s="29">
        <v>0.56</v>
      </c>
      <c r="J18" s="31"/>
      <c r="K18" s="31"/>
      <c r="L18" s="12" t="s">
        <v>127</v>
      </c>
    </row>
    <row r="19" ht="15.0" customHeight="1">
      <c r="A19" s="1"/>
      <c r="B19" s="9" t="s">
        <v>129</v>
      </c>
      <c r="C19" s="27"/>
      <c r="D19" s="27"/>
      <c r="E19" s="27"/>
      <c r="F19" s="29">
        <v>1.33</v>
      </c>
      <c r="G19" s="29">
        <v>2.11</v>
      </c>
      <c r="H19" s="29">
        <v>1.73</v>
      </c>
      <c r="I19" s="29">
        <v>6.76</v>
      </c>
      <c r="J19" s="31"/>
      <c r="K19" s="31"/>
      <c r="L19" s="12" t="s">
        <v>130</v>
      </c>
    </row>
    <row r="20" ht="15.0" customHeight="1">
      <c r="A20" s="1"/>
      <c r="B20" s="23" t="s">
        <v>131</v>
      </c>
      <c r="C20" s="27"/>
      <c r="D20" s="27"/>
      <c r="E20" s="27"/>
      <c r="F20" s="29">
        <v>0.63</v>
      </c>
      <c r="G20" s="29">
        <v>0.94</v>
      </c>
      <c r="H20" s="29">
        <v>1.9</v>
      </c>
      <c r="I20" s="29">
        <v>2.8</v>
      </c>
      <c r="J20" s="31"/>
      <c r="K20" s="31"/>
      <c r="L20" s="12" t="s">
        <v>132</v>
      </c>
    </row>
    <row r="21" ht="15.0" customHeight="1">
      <c r="A21" s="1"/>
      <c r="B21" s="23" t="s">
        <v>134</v>
      </c>
      <c r="C21" s="27"/>
      <c r="D21" s="27"/>
      <c r="E21" s="27"/>
      <c r="F21" s="29">
        <v>0.1</v>
      </c>
      <c r="G21" s="29">
        <v>0.16</v>
      </c>
      <c r="H21" s="29">
        <v>0.32</v>
      </c>
      <c r="I21" s="29">
        <v>0.39</v>
      </c>
      <c r="J21" s="31"/>
      <c r="K21" s="31"/>
      <c r="L21" s="12" t="s">
        <v>136</v>
      </c>
    </row>
    <row r="22" ht="15.0" customHeight="1">
      <c r="A22" s="1"/>
      <c r="B22" s="23" t="s">
        <v>137</v>
      </c>
      <c r="C22" s="27"/>
      <c r="D22" s="27"/>
      <c r="E22" s="28">
        <v>6.7</v>
      </c>
      <c r="F22" s="29">
        <v>1.14</v>
      </c>
      <c r="G22" s="29">
        <v>0.98</v>
      </c>
      <c r="H22" s="29">
        <v>5.86</v>
      </c>
      <c r="I22" s="29">
        <v>2.24</v>
      </c>
      <c r="J22" s="31"/>
      <c r="K22" s="31"/>
      <c r="L22" s="12" t="s">
        <v>138</v>
      </c>
    </row>
    <row r="23" ht="15.0" customHeight="1">
      <c r="A23" s="1"/>
      <c r="B23" s="23" t="s">
        <v>140</v>
      </c>
      <c r="C23" s="27"/>
      <c r="D23" s="27"/>
      <c r="E23" s="27"/>
      <c r="F23" s="29">
        <v>2.99</v>
      </c>
      <c r="G23" s="29">
        <v>3.9</v>
      </c>
      <c r="H23" s="29">
        <v>9.28</v>
      </c>
      <c r="I23" s="29">
        <v>11.45</v>
      </c>
      <c r="J23" s="31"/>
      <c r="K23" s="31"/>
      <c r="L23" s="12" t="s">
        <v>142</v>
      </c>
    </row>
    <row r="24" ht="15.0" customHeight="1">
      <c r="A24" s="1"/>
      <c r="B24" s="23" t="s">
        <v>143</v>
      </c>
      <c r="C24" s="27"/>
      <c r="D24" s="27"/>
      <c r="E24" s="27"/>
      <c r="F24" s="29">
        <v>0.74</v>
      </c>
      <c r="G24" s="29">
        <v>0.96</v>
      </c>
      <c r="H24" s="29">
        <v>2.28</v>
      </c>
      <c r="I24" s="29">
        <v>2.83</v>
      </c>
      <c r="J24" s="31"/>
      <c r="K24" s="31"/>
      <c r="L24" s="12" t="s">
        <v>144</v>
      </c>
    </row>
    <row r="25" ht="15.0" customHeight="1">
      <c r="A25" s="1"/>
      <c r="B25" s="9" t="s">
        <v>145</v>
      </c>
      <c r="C25" s="27"/>
      <c r="D25" s="27"/>
      <c r="E25" s="27"/>
      <c r="F25" s="29">
        <v>2.26</v>
      </c>
      <c r="G25" s="29">
        <v>2.95</v>
      </c>
      <c r="H25" s="29">
        <v>7.0</v>
      </c>
      <c r="I25" s="29">
        <v>8.62</v>
      </c>
      <c r="J25" s="29">
        <v>0.8</v>
      </c>
      <c r="K25" s="29">
        <v>1.1</v>
      </c>
      <c r="L25" s="12" t="s">
        <v>147</v>
      </c>
    </row>
    <row r="26" ht="15.0" customHeight="1">
      <c r="A26" s="1"/>
      <c r="B26" s="23" t="s">
        <v>148</v>
      </c>
      <c r="C26" s="27"/>
      <c r="D26" s="27"/>
      <c r="E26" s="28">
        <v>20.2</v>
      </c>
      <c r="F26" s="31"/>
      <c r="G26" s="31"/>
      <c r="H26" s="31"/>
      <c r="I26" s="31"/>
      <c r="J26" s="31"/>
      <c r="K26" s="31"/>
      <c r="L26" s="12" t="s">
        <v>150</v>
      </c>
    </row>
    <row r="27" ht="15.0" customHeight="1">
      <c r="A27" s="1"/>
      <c r="B27" s="23" t="s">
        <v>151</v>
      </c>
      <c r="C27" s="27"/>
      <c r="D27" s="27"/>
      <c r="E27" s="27"/>
      <c r="F27" s="39">
        <v>0.09</v>
      </c>
      <c r="G27" s="39">
        <v>0.12</v>
      </c>
      <c r="H27" s="39">
        <v>0.29</v>
      </c>
      <c r="I27" s="39">
        <v>0.36</v>
      </c>
      <c r="J27" s="39">
        <v>0.03</v>
      </c>
      <c r="K27" s="39">
        <v>0.05</v>
      </c>
      <c r="L27" s="12" t="s">
        <v>154</v>
      </c>
    </row>
    <row r="28" ht="15.0" customHeight="1">
      <c r="A28" s="1"/>
      <c r="B28" s="23" t="s">
        <v>156</v>
      </c>
      <c r="C28" s="27"/>
      <c r="D28" s="27"/>
      <c r="E28" s="27"/>
      <c r="F28" s="31"/>
      <c r="G28" s="31"/>
      <c r="H28" s="31"/>
      <c r="I28" s="40">
        <v>24.1</v>
      </c>
      <c r="J28" s="31"/>
      <c r="K28" s="31"/>
      <c r="L28" s="12" t="s">
        <v>157</v>
      </c>
    </row>
    <row r="29" ht="15.0" customHeight="1">
      <c r="A29" s="1"/>
      <c r="B29" s="25" t="s">
        <v>158</v>
      </c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0" ht="15.0" customHeight="1">
      <c r="A30" s="1"/>
      <c r="B30" s="23" t="s">
        <v>160</v>
      </c>
      <c r="C30" s="27"/>
      <c r="D30" s="27"/>
      <c r="E30" s="28">
        <v>21.93</v>
      </c>
      <c r="F30" s="31"/>
      <c r="G30" s="29">
        <v>8.44</v>
      </c>
      <c r="H30" s="31"/>
      <c r="I30" s="31"/>
      <c r="J30" s="31"/>
      <c r="K30" s="31"/>
      <c r="L30" s="12" t="s">
        <v>161</v>
      </c>
    </row>
    <row r="31" ht="15.0" customHeight="1">
      <c r="A31" s="1"/>
      <c r="B31" s="23" t="s">
        <v>162</v>
      </c>
      <c r="C31" s="27"/>
      <c r="D31" s="27"/>
      <c r="E31" s="28">
        <v>6.45</v>
      </c>
      <c r="F31" s="31"/>
      <c r="G31" s="29">
        <v>6.19</v>
      </c>
      <c r="H31" s="31"/>
      <c r="I31" s="31"/>
      <c r="J31" s="31"/>
      <c r="K31" s="31"/>
      <c r="L31" s="12" t="s">
        <v>163</v>
      </c>
    </row>
    <row r="32" ht="15.0" customHeight="1">
      <c r="A32" s="1"/>
      <c r="B32" s="23" t="s">
        <v>164</v>
      </c>
      <c r="C32" s="27"/>
      <c r="D32" s="27"/>
      <c r="E32" s="28">
        <v>1.33</v>
      </c>
      <c r="F32" s="31"/>
      <c r="G32" s="29">
        <v>2.49</v>
      </c>
      <c r="H32" s="31"/>
      <c r="I32" s="31"/>
      <c r="J32" s="31"/>
      <c r="K32" s="31"/>
      <c r="L32" s="12" t="s">
        <v>166</v>
      </c>
    </row>
    <row r="33" ht="15.0" customHeight="1">
      <c r="A33" s="1"/>
      <c r="B33" s="23" t="s">
        <v>168</v>
      </c>
      <c r="C33" s="27"/>
      <c r="D33" s="27"/>
      <c r="E33" s="28">
        <v>7.39</v>
      </c>
      <c r="F33" s="31"/>
      <c r="G33" s="29">
        <v>4.13</v>
      </c>
      <c r="H33" s="31"/>
      <c r="I33" s="31"/>
      <c r="J33" s="31"/>
      <c r="K33" s="31"/>
      <c r="L33" s="12" t="s">
        <v>169</v>
      </c>
    </row>
    <row r="34" ht="15.0" customHeight="1">
      <c r="A34" s="1"/>
      <c r="B34" s="23" t="s">
        <v>94</v>
      </c>
      <c r="C34" s="27"/>
      <c r="D34" s="27"/>
      <c r="E34" s="28">
        <v>31.65</v>
      </c>
      <c r="F34" s="31"/>
      <c r="G34" s="29">
        <v>15.61</v>
      </c>
      <c r="H34" s="31"/>
      <c r="I34" s="31"/>
      <c r="J34" s="31"/>
      <c r="K34" s="31"/>
      <c r="L34" s="12" t="s">
        <v>170</v>
      </c>
    </row>
    <row r="35" ht="15.0" customHeight="1">
      <c r="A35" s="1"/>
      <c r="B35" s="23" t="s">
        <v>171</v>
      </c>
      <c r="C35" s="27"/>
      <c r="D35" s="27"/>
      <c r="E35" s="28">
        <v>67.52</v>
      </c>
      <c r="F35" s="31"/>
      <c r="G35" s="29">
        <v>72.27</v>
      </c>
      <c r="H35" s="31"/>
      <c r="I35" s="31"/>
      <c r="J35" s="31"/>
      <c r="K35" s="31"/>
      <c r="L35" s="12" t="s">
        <v>173</v>
      </c>
    </row>
    <row r="36" ht="15.0" customHeight="1">
      <c r="A36" s="1"/>
      <c r="B36" s="23" t="s">
        <v>174</v>
      </c>
      <c r="C36" s="27"/>
      <c r="D36" s="27"/>
      <c r="E36" s="28">
        <v>4.17</v>
      </c>
      <c r="F36" s="31"/>
      <c r="G36" s="29">
        <v>5.72</v>
      </c>
      <c r="H36" s="31"/>
      <c r="I36" s="31"/>
      <c r="J36" s="31"/>
      <c r="K36" s="31"/>
      <c r="L36" s="12" t="s">
        <v>175</v>
      </c>
    </row>
    <row r="37" ht="15.0" customHeight="1">
      <c r="A37" s="1"/>
      <c r="B37" s="23" t="s">
        <v>126</v>
      </c>
      <c r="C37" s="27"/>
      <c r="D37" s="27"/>
      <c r="E37" s="28">
        <v>5.24</v>
      </c>
      <c r="F37" s="31"/>
      <c r="G37" s="29">
        <v>14.57</v>
      </c>
      <c r="H37" s="31"/>
      <c r="I37" s="31"/>
      <c r="J37" s="31"/>
      <c r="K37" s="31"/>
      <c r="L37" s="12" t="s">
        <v>177</v>
      </c>
    </row>
    <row r="38" ht="15.0" customHeight="1">
      <c r="A38" s="1"/>
      <c r="B38" s="23" t="s">
        <v>179</v>
      </c>
      <c r="C38" s="27"/>
      <c r="D38" s="27"/>
      <c r="E38" s="28">
        <v>45.0</v>
      </c>
      <c r="F38" s="31"/>
      <c r="G38" s="29">
        <v>59.06</v>
      </c>
      <c r="H38" s="31"/>
      <c r="I38" s="31"/>
      <c r="J38" s="31"/>
      <c r="K38" s="31"/>
      <c r="L38" s="12" t="s">
        <v>180</v>
      </c>
    </row>
    <row r="39" ht="15.0" customHeight="1">
      <c r="A39" s="1"/>
      <c r="B39" s="9" t="s">
        <v>141</v>
      </c>
      <c r="C39" s="27"/>
      <c r="D39" s="27"/>
      <c r="E39" s="28">
        <v>162.28</v>
      </c>
      <c r="F39" s="31"/>
      <c r="G39" s="29">
        <v>175.98</v>
      </c>
      <c r="H39" s="31"/>
      <c r="I39" s="31"/>
      <c r="J39" s="31"/>
      <c r="K39" s="31"/>
      <c r="L39" s="12" t="s">
        <v>182</v>
      </c>
    </row>
    <row r="40" ht="15.0" customHeight="1">
      <c r="A40" s="1"/>
      <c r="B40" s="23" t="s">
        <v>183</v>
      </c>
      <c r="C40" s="27"/>
      <c r="D40" s="27"/>
      <c r="E40" s="28">
        <v>7.85</v>
      </c>
      <c r="F40" s="31"/>
      <c r="G40" s="29">
        <v>5.98</v>
      </c>
      <c r="H40" s="31"/>
      <c r="I40" s="31"/>
      <c r="J40" s="31"/>
      <c r="K40" s="31"/>
      <c r="L40" s="12" t="s">
        <v>185</v>
      </c>
    </row>
    <row r="41" ht="15.0" customHeight="1">
      <c r="A41" s="1"/>
      <c r="B41" s="23" t="s">
        <v>187</v>
      </c>
      <c r="C41" s="27"/>
      <c r="D41" s="27"/>
      <c r="E41" s="28">
        <v>3.36</v>
      </c>
      <c r="F41" s="31"/>
      <c r="G41" s="29">
        <v>2.75</v>
      </c>
      <c r="H41" s="31"/>
      <c r="I41" s="31"/>
      <c r="J41" s="31"/>
      <c r="K41" s="31"/>
      <c r="L41" s="12" t="s">
        <v>189</v>
      </c>
    </row>
    <row r="42" ht="15.0" customHeight="1">
      <c r="A42" s="1"/>
      <c r="B42" s="23" t="s">
        <v>190</v>
      </c>
      <c r="C42" s="27"/>
      <c r="D42" s="27"/>
      <c r="E42" s="28">
        <v>0.41</v>
      </c>
      <c r="F42" s="31"/>
      <c r="G42" s="29">
        <v>1.45</v>
      </c>
      <c r="H42" s="31"/>
      <c r="I42" s="31"/>
      <c r="J42" s="31"/>
      <c r="K42" s="31"/>
      <c r="L42" s="12" t="s">
        <v>191</v>
      </c>
    </row>
    <row r="43" ht="15.0" customHeight="1">
      <c r="A43" s="1"/>
      <c r="B43" s="23" t="s">
        <v>155</v>
      </c>
      <c r="C43" s="27"/>
      <c r="D43" s="27"/>
      <c r="E43" s="28">
        <v>11.62</v>
      </c>
      <c r="F43" s="31"/>
      <c r="G43" s="29">
        <v>10.18</v>
      </c>
      <c r="H43" s="31"/>
      <c r="I43" s="31"/>
      <c r="J43" s="31"/>
      <c r="K43" s="31"/>
      <c r="L43" s="12" t="s">
        <v>192</v>
      </c>
    </row>
    <row r="44" ht="15.0" customHeight="1">
      <c r="A44" s="1"/>
      <c r="B44" s="23" t="s">
        <v>159</v>
      </c>
      <c r="C44" s="27"/>
      <c r="D44" s="27"/>
      <c r="E44" s="28">
        <v>6.38</v>
      </c>
      <c r="F44" s="31"/>
      <c r="G44" s="29">
        <v>12.67</v>
      </c>
      <c r="H44" s="31"/>
      <c r="I44" s="31"/>
      <c r="J44" s="31"/>
      <c r="K44" s="31"/>
      <c r="L44" s="12" t="s">
        <v>193</v>
      </c>
    </row>
    <row r="45" ht="15.0" customHeight="1">
      <c r="A45" s="1"/>
      <c r="B45" s="23" t="s">
        <v>194</v>
      </c>
      <c r="C45" s="27"/>
      <c r="D45" s="27"/>
      <c r="E45" s="28">
        <v>6.79</v>
      </c>
      <c r="F45" s="31"/>
      <c r="G45" s="29">
        <v>14.12</v>
      </c>
      <c r="H45" s="31"/>
      <c r="I45" s="31"/>
      <c r="J45" s="31"/>
      <c r="K45" s="31"/>
      <c r="L45" s="12" t="s">
        <v>195</v>
      </c>
    </row>
    <row r="46" ht="15.0" customHeight="1">
      <c r="A46" s="1"/>
      <c r="B46" s="9" t="s">
        <v>167</v>
      </c>
      <c r="C46" s="27"/>
      <c r="D46" s="27"/>
      <c r="E46" s="28">
        <v>19.54</v>
      </c>
      <c r="F46" s="31"/>
      <c r="G46" s="29">
        <v>24.39</v>
      </c>
      <c r="H46" s="31"/>
      <c r="I46" s="31"/>
      <c r="J46" s="31"/>
      <c r="K46" s="31"/>
      <c r="L46" s="12" t="s">
        <v>196</v>
      </c>
    </row>
    <row r="47" ht="15.0" customHeight="1">
      <c r="A47" s="1"/>
      <c r="B47" s="9" t="s">
        <v>172</v>
      </c>
      <c r="C47" s="27"/>
      <c r="D47" s="27"/>
      <c r="E47" s="28">
        <v>142.74</v>
      </c>
      <c r="F47" s="31"/>
      <c r="G47" s="29">
        <v>151.58</v>
      </c>
      <c r="H47" s="31"/>
      <c r="I47" s="31"/>
      <c r="J47" s="31"/>
      <c r="K47" s="31"/>
      <c r="L47" s="12" t="s">
        <v>197</v>
      </c>
    </row>
    <row r="48" ht="15.0" customHeight="1">
      <c r="A48" s="1"/>
      <c r="B48" s="23" t="s">
        <v>199</v>
      </c>
      <c r="C48" s="27"/>
      <c r="D48" s="27"/>
      <c r="E48" s="28">
        <v>-32.79</v>
      </c>
      <c r="F48" s="31"/>
      <c r="G48" s="29">
        <v>-24.37</v>
      </c>
      <c r="H48" s="31"/>
      <c r="I48" s="31"/>
      <c r="J48" s="31"/>
      <c r="K48" s="31"/>
      <c r="L48" s="12" t="s">
        <v>201</v>
      </c>
    </row>
    <row r="49" ht="15.0" customHeight="1">
      <c r="A49" s="1"/>
      <c r="B49" s="25" t="s">
        <v>202</v>
      </c>
      <c r="C49" s="26"/>
      <c r="D49" s="26"/>
      <c r="E49" s="26"/>
      <c r="F49" s="26"/>
      <c r="G49" s="26"/>
      <c r="H49" s="26"/>
      <c r="I49" s="26"/>
      <c r="J49" s="26"/>
      <c r="K49" s="26"/>
      <c r="L49" s="26"/>
    </row>
    <row r="50" ht="15.0" customHeight="1">
      <c r="A50" s="1"/>
      <c r="B50" s="23" t="s">
        <v>203</v>
      </c>
      <c r="C50" s="27"/>
      <c r="D50" s="27"/>
      <c r="E50" s="27"/>
      <c r="F50" s="31"/>
      <c r="G50" s="31"/>
      <c r="H50" s="29">
        <v>3.87</v>
      </c>
      <c r="I50" s="29">
        <v>-1.72</v>
      </c>
      <c r="J50" s="31"/>
      <c r="K50" s="31"/>
      <c r="L50" s="12" t="s">
        <v>204</v>
      </c>
    </row>
    <row r="51" ht="15.0" customHeight="1">
      <c r="A51" s="1"/>
      <c r="B51" s="23" t="s">
        <v>205</v>
      </c>
      <c r="C51" s="27"/>
      <c r="D51" s="27"/>
      <c r="E51" s="27"/>
      <c r="F51" s="31"/>
      <c r="G51" s="31"/>
      <c r="H51" s="29">
        <v>8.43</v>
      </c>
      <c r="I51" s="29">
        <v>19.16</v>
      </c>
      <c r="J51" s="31"/>
      <c r="K51" s="31"/>
      <c r="L51" s="12" t="s">
        <v>208</v>
      </c>
    </row>
    <row r="52" ht="15.0" customHeight="1">
      <c r="A52" s="1"/>
      <c r="B52" s="23" t="s">
        <v>210</v>
      </c>
      <c r="C52" s="27"/>
      <c r="D52" s="27"/>
      <c r="E52" s="27"/>
      <c r="F52" s="31"/>
      <c r="G52" s="31"/>
      <c r="H52" s="29">
        <v>6.88</v>
      </c>
      <c r="I52" s="29">
        <v>5.82</v>
      </c>
      <c r="J52" s="31"/>
      <c r="K52" s="31"/>
      <c r="L52" s="12" t="s">
        <v>211</v>
      </c>
    </row>
    <row r="53" ht="15.0" customHeight="1">
      <c r="A53" s="1"/>
      <c r="B53" s="23" t="s">
        <v>212</v>
      </c>
      <c r="C53" s="27"/>
      <c r="D53" s="27"/>
      <c r="E53" s="27"/>
      <c r="F53" s="31"/>
      <c r="G53" s="31"/>
      <c r="H53" s="29">
        <v>0.06</v>
      </c>
      <c r="I53" s="29">
        <v>9.84</v>
      </c>
      <c r="J53" s="31"/>
      <c r="K53" s="31"/>
      <c r="L53" s="12" t="s">
        <v>213</v>
      </c>
    </row>
    <row r="54" ht="15.0" customHeight="1">
      <c r="A54" s="1"/>
      <c r="B54" s="25" t="s">
        <v>214</v>
      </c>
      <c r="C54" s="26"/>
      <c r="D54" s="26"/>
      <c r="E54" s="26"/>
      <c r="F54" s="26"/>
      <c r="G54" s="26"/>
      <c r="H54" s="26"/>
      <c r="I54" s="26"/>
      <c r="J54" s="26"/>
      <c r="K54" s="26"/>
      <c r="L54" s="26"/>
    </row>
    <row r="55" ht="15.0" customHeight="1">
      <c r="A55" s="1"/>
      <c r="B55" s="23" t="s">
        <v>215</v>
      </c>
      <c r="C55" s="27"/>
      <c r="D55" s="27"/>
      <c r="E55" s="27"/>
      <c r="F55" s="31"/>
      <c r="G55" s="31"/>
      <c r="H55" s="31"/>
      <c r="I55" s="39">
        <v>10.0</v>
      </c>
      <c r="J55" s="31"/>
      <c r="K55" s="31"/>
      <c r="L55" s="12" t="s">
        <v>217</v>
      </c>
    </row>
    <row r="56" ht="15.0" customHeight="1">
      <c r="A56" s="1"/>
      <c r="B56" s="23" t="s">
        <v>218</v>
      </c>
      <c r="C56" s="27"/>
      <c r="D56" s="27"/>
      <c r="E56" s="27"/>
      <c r="F56" s="31"/>
      <c r="G56" s="31"/>
      <c r="H56" s="31"/>
      <c r="I56" s="44">
        <v>161.0</v>
      </c>
      <c r="J56" s="31"/>
      <c r="K56" s="31"/>
      <c r="L56" s="12" t="s">
        <v>220</v>
      </c>
    </row>
    <row r="57" ht="15.0" customHeight="1">
      <c r="A57" s="1"/>
      <c r="B57" s="23" t="s">
        <v>221</v>
      </c>
      <c r="C57" s="27"/>
      <c r="D57" s="27"/>
      <c r="E57" s="27"/>
      <c r="F57" s="31"/>
      <c r="G57" s="31"/>
      <c r="H57" s="31"/>
      <c r="I57" s="39">
        <v>40.0</v>
      </c>
      <c r="J57" s="31"/>
      <c r="K57" s="31"/>
      <c r="L57" s="12" t="s">
        <v>222</v>
      </c>
    </row>
    <row r="58" ht="15.0" customHeight="1">
      <c r="A58" s="1"/>
      <c r="B58" s="23" t="s">
        <v>223</v>
      </c>
      <c r="C58" s="27"/>
      <c r="D58" s="27"/>
      <c r="E58" s="27"/>
      <c r="F58" s="31"/>
      <c r="G58" s="31"/>
      <c r="H58" s="31"/>
      <c r="I58" s="44">
        <v>30000.0</v>
      </c>
      <c r="J58" s="31"/>
      <c r="K58" s="31"/>
      <c r="L58" s="12" t="s">
        <v>224</v>
      </c>
    </row>
    <row r="59" ht="15.0" customHeight="1">
      <c r="A59" s="1"/>
      <c r="B59" s="23" t="s">
        <v>225</v>
      </c>
      <c r="C59" s="27"/>
      <c r="D59" s="27"/>
      <c r="E59" s="27"/>
      <c r="F59" s="31"/>
      <c r="G59" s="31"/>
      <c r="H59" s="31"/>
      <c r="I59" s="44">
        <v>60000.0</v>
      </c>
      <c r="J59" s="31"/>
      <c r="K59" s="31"/>
      <c r="L59" s="12" t="s">
        <v>228</v>
      </c>
    </row>
    <row r="60" ht="15.0" customHeight="1">
      <c r="A60" s="1"/>
      <c r="B60" s="23" t="s">
        <v>229</v>
      </c>
      <c r="C60" s="27"/>
      <c r="D60" s="27"/>
      <c r="E60" s="27"/>
      <c r="F60" s="31"/>
      <c r="G60" s="31"/>
      <c r="H60" s="31"/>
      <c r="I60" s="44">
        <v>1818.0</v>
      </c>
      <c r="J60" s="31"/>
      <c r="K60" s="31"/>
      <c r="L60" s="12" t="s">
        <v>231</v>
      </c>
    </row>
    <row r="61" ht="15.0" customHeight="1">
      <c r="A61" s="1"/>
      <c r="B61" s="23" t="s">
        <v>232</v>
      </c>
      <c r="C61" s="27"/>
      <c r="D61" s="27"/>
      <c r="E61" s="27"/>
      <c r="F61" s="31"/>
      <c r="G61" s="31"/>
      <c r="H61" s="31"/>
      <c r="I61" s="44">
        <v>3500.0</v>
      </c>
      <c r="J61" s="31"/>
      <c r="K61" s="31"/>
      <c r="L61" s="12" t="s">
        <v>234</v>
      </c>
    </row>
    <row r="62" ht="15.0" customHeight="1">
      <c r="A62" s="1"/>
      <c r="B62" s="25" t="s">
        <v>235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</row>
    <row r="63" ht="15.0" customHeight="1">
      <c r="A63" s="1"/>
      <c r="B63" s="23" t="s">
        <v>236</v>
      </c>
      <c r="C63" s="27"/>
      <c r="D63" s="27"/>
      <c r="E63" s="27"/>
      <c r="F63" s="31"/>
      <c r="G63" s="31"/>
      <c r="H63" s="31"/>
      <c r="I63" s="31"/>
      <c r="J63" s="31"/>
      <c r="K63" s="46">
        <v>0.043</v>
      </c>
      <c r="L63" s="12" t="s">
        <v>238</v>
      </c>
    </row>
    <row r="64" ht="15.0" customHeight="1">
      <c r="A64" s="1"/>
      <c r="B64" s="23" t="s">
        <v>239</v>
      </c>
      <c r="C64" s="27"/>
      <c r="D64" s="27"/>
      <c r="E64" s="27"/>
      <c r="F64" s="31"/>
      <c r="G64" s="31"/>
      <c r="H64" s="31"/>
      <c r="I64" s="31"/>
      <c r="J64" s="31"/>
      <c r="K64" s="46">
        <v>0.055</v>
      </c>
      <c r="L64" s="12" t="s">
        <v>240</v>
      </c>
    </row>
    <row r="65" ht="15.0" customHeight="1">
      <c r="A65" s="1"/>
      <c r="B65" s="23" t="s">
        <v>242</v>
      </c>
      <c r="C65" s="27"/>
      <c r="D65" s="27"/>
      <c r="E65" s="27"/>
      <c r="F65" s="31"/>
      <c r="G65" s="31"/>
      <c r="H65" s="31"/>
      <c r="I65" s="31"/>
      <c r="J65" s="31"/>
      <c r="K65" s="48">
        <v>0.75</v>
      </c>
      <c r="L65" s="12" t="s">
        <v>243</v>
      </c>
    </row>
    <row r="66" ht="15.0" customHeight="1">
      <c r="A66" s="1"/>
      <c r="B66" s="23" t="s">
        <v>244</v>
      </c>
      <c r="C66" s="27"/>
      <c r="D66" s="27"/>
      <c r="E66" s="27"/>
      <c r="F66" s="31"/>
      <c r="G66" s="31"/>
      <c r="H66" s="31"/>
      <c r="I66" s="31"/>
      <c r="J66" s="31"/>
      <c r="K66" s="46">
        <v>0.24</v>
      </c>
      <c r="L66" s="12" t="s">
        <v>246</v>
      </c>
    </row>
    <row r="67" ht="15.0" customHeight="1">
      <c r="A67" s="1"/>
      <c r="B67" s="23" t="s">
        <v>247</v>
      </c>
      <c r="C67" s="27"/>
      <c r="D67" s="27"/>
      <c r="E67" s="27"/>
      <c r="F67" s="31"/>
      <c r="G67" s="31"/>
      <c r="H67" s="31"/>
      <c r="I67" s="31"/>
      <c r="J67" s="31"/>
      <c r="K67" s="46">
        <v>0.06</v>
      </c>
      <c r="L67" s="12" t="s">
        <v>248</v>
      </c>
    </row>
    <row r="68" ht="15.0" customHeight="1">
      <c r="A68" s="1"/>
      <c r="B68" s="23" t="s">
        <v>249</v>
      </c>
      <c r="C68" s="27"/>
      <c r="D68" s="27"/>
      <c r="E68" s="27"/>
      <c r="F68" s="31"/>
      <c r="G68" s="31"/>
      <c r="H68" s="31"/>
      <c r="I68" s="31"/>
      <c r="J68" s="31"/>
      <c r="K68" s="46">
        <v>0.03</v>
      </c>
      <c r="L68" s="12" t="s">
        <v>250</v>
      </c>
    </row>
    <row r="69" ht="15.0" customHeight="1">
      <c r="A69" s="1"/>
      <c r="B69" s="23" t="s">
        <v>251</v>
      </c>
      <c r="C69" s="27"/>
      <c r="D69" s="27"/>
      <c r="E69" s="27"/>
      <c r="F69" s="31"/>
      <c r="G69" s="31"/>
      <c r="H69" s="31"/>
      <c r="I69" s="31"/>
      <c r="J69" s="31"/>
      <c r="K69" s="39">
        <v>30.0</v>
      </c>
      <c r="L69" s="12" t="s">
        <v>252</v>
      </c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ht="15.0" customHeight="1">
      <c r="A71" s="1"/>
      <c r="B71" s="49" t="s">
        <v>253</v>
      </c>
    </row>
    <row r="72" ht="15.0" customHeight="1">
      <c r="A72" s="1"/>
      <c r="B72" s="49" t="s">
        <v>254</v>
      </c>
    </row>
    <row r="73" ht="15.0" customHeight="1">
      <c r="A73" s="1"/>
      <c r="B73" s="49" t="s">
        <v>255</v>
      </c>
    </row>
    <row r="74" ht="15.0" customHeight="1">
      <c r="A74" s="1"/>
      <c r="B74" s="49" t="s">
        <v>256</v>
      </c>
    </row>
    <row r="75" ht="15.0" customHeight="1">
      <c r="A75" s="1"/>
      <c r="B75" s="49" t="s">
        <v>257</v>
      </c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ht="23.25" customHeight="1">
      <c r="A77" s="1"/>
      <c r="B77" s="25" t="s">
        <v>259</v>
      </c>
      <c r="C77" s="26"/>
      <c r="D77" s="26"/>
      <c r="E77" s="26"/>
      <c r="F77" s="26"/>
      <c r="G77" s="26"/>
      <c r="H77" s="26"/>
      <c r="I77" s="26"/>
      <c r="J77" s="26"/>
      <c r="K77" s="26"/>
      <c r="L77" s="26"/>
    </row>
    <row r="78" ht="15.0" customHeight="1">
      <c r="A78" s="1"/>
      <c r="B78" s="23" t="s">
        <v>260</v>
      </c>
      <c r="C78" s="1"/>
      <c r="D78" s="1"/>
      <c r="E78" s="1"/>
      <c r="F78" s="1"/>
      <c r="G78" s="1"/>
      <c r="H78" s="1"/>
      <c r="I78" s="1"/>
      <c r="J78" s="1"/>
      <c r="K78" s="50">
        <v>26.1</v>
      </c>
      <c r="L78" s="12" t="s">
        <v>261</v>
      </c>
    </row>
    <row r="79" ht="15.0" customHeight="1">
      <c r="A79" s="1"/>
      <c r="B79" s="23" t="s">
        <v>262</v>
      </c>
      <c r="C79" s="1"/>
      <c r="D79" s="1"/>
      <c r="E79" s="1"/>
      <c r="F79" s="1"/>
      <c r="G79" s="1"/>
      <c r="H79" s="1"/>
      <c r="I79" s="1"/>
      <c r="J79" s="1"/>
      <c r="K79" s="51">
        <v>0.15</v>
      </c>
      <c r="L79" s="12" t="s">
        <v>263</v>
      </c>
    </row>
    <row r="80" ht="15.0" customHeight="1">
      <c r="A80" s="1"/>
      <c r="B80" s="23" t="s">
        <v>264</v>
      </c>
      <c r="C80" s="1"/>
      <c r="D80" s="1"/>
      <c r="E80" s="1"/>
      <c r="F80" s="1"/>
      <c r="G80" s="1"/>
      <c r="H80" s="1"/>
      <c r="I80" s="1"/>
      <c r="J80" s="1"/>
      <c r="K80" s="51">
        <v>0.13</v>
      </c>
      <c r="L80" s="12"/>
    </row>
    <row r="81" ht="15.0" customHeight="1">
      <c r="A81" s="1"/>
      <c r="B81" s="23" t="s">
        <v>265</v>
      </c>
      <c r="C81" s="1"/>
      <c r="D81" s="1"/>
      <c r="E81" s="1"/>
      <c r="F81" s="1"/>
      <c r="G81" s="1"/>
      <c r="H81" s="1"/>
      <c r="I81" s="1"/>
      <c r="J81" s="1"/>
      <c r="K81" s="51">
        <v>0.11</v>
      </c>
      <c r="L81" s="12"/>
    </row>
    <row r="82" ht="15.0" customHeight="1">
      <c r="A82" s="1"/>
      <c r="B82" s="23" t="s">
        <v>266</v>
      </c>
      <c r="C82" s="1"/>
      <c r="D82" s="1"/>
      <c r="E82" s="1"/>
      <c r="F82" s="1"/>
      <c r="G82" s="1"/>
      <c r="H82" s="1"/>
      <c r="I82" s="1"/>
      <c r="J82" s="1"/>
      <c r="K82" s="51">
        <v>0.09</v>
      </c>
      <c r="L82" s="12" t="s">
        <v>267</v>
      </c>
    </row>
    <row r="83" ht="15.0" customHeight="1">
      <c r="A83" s="1"/>
      <c r="B83" s="23" t="s">
        <v>268</v>
      </c>
      <c r="C83" s="1"/>
      <c r="D83" s="1"/>
      <c r="E83" s="1"/>
      <c r="F83" s="1"/>
      <c r="G83" s="1"/>
      <c r="H83" s="1"/>
      <c r="I83" s="1"/>
      <c r="J83" s="1"/>
      <c r="K83" s="51">
        <v>0.07</v>
      </c>
      <c r="L83" s="12"/>
    </row>
    <row r="84" ht="15.0" customHeight="1">
      <c r="A84" s="1"/>
      <c r="B84" s="23" t="s">
        <v>270</v>
      </c>
      <c r="C84" s="1"/>
      <c r="D84" s="1"/>
      <c r="E84" s="1"/>
      <c r="F84" s="1"/>
      <c r="G84" s="1"/>
      <c r="H84" s="1"/>
      <c r="I84" s="1"/>
      <c r="J84" s="1"/>
      <c r="K84" s="51">
        <v>0.55</v>
      </c>
      <c r="L84" s="12" t="s">
        <v>271</v>
      </c>
    </row>
    <row r="85" ht="15.0" customHeight="1">
      <c r="A85" s="1"/>
      <c r="B85" s="23" t="s">
        <v>272</v>
      </c>
      <c r="C85" s="1"/>
      <c r="D85" s="1"/>
      <c r="E85" s="1"/>
      <c r="F85" s="1"/>
      <c r="G85" s="1"/>
      <c r="H85" s="1"/>
      <c r="I85" s="1"/>
      <c r="J85" s="1"/>
      <c r="K85" s="51">
        <v>0.24</v>
      </c>
      <c r="L85" s="12" t="s">
        <v>273</v>
      </c>
    </row>
    <row r="86" ht="15.0" customHeight="1">
      <c r="A86" s="1"/>
      <c r="B86" s="23" t="s">
        <v>274</v>
      </c>
      <c r="C86" s="1"/>
      <c r="D86" s="1"/>
      <c r="E86" s="1"/>
      <c r="F86" s="1"/>
      <c r="G86" s="1"/>
      <c r="H86" s="1"/>
      <c r="I86" s="1"/>
      <c r="J86" s="1"/>
      <c r="K86" s="51">
        <v>0.025</v>
      </c>
      <c r="L86" s="12" t="s">
        <v>275</v>
      </c>
    </row>
    <row r="87" ht="15.0" customHeight="1">
      <c r="A87" s="1"/>
      <c r="B87" s="23" t="s">
        <v>276</v>
      </c>
      <c r="C87" s="1"/>
      <c r="D87" s="1"/>
      <c r="E87" s="1"/>
      <c r="F87" s="1"/>
      <c r="G87" s="1"/>
      <c r="H87" s="1"/>
      <c r="I87" s="1"/>
      <c r="J87" s="1"/>
      <c r="K87" s="51">
        <v>0.3</v>
      </c>
      <c r="L87" s="12" t="s">
        <v>277</v>
      </c>
    </row>
    <row r="88" ht="15.0" customHeight="1">
      <c r="A88" s="1"/>
      <c r="B88" s="23" t="s">
        <v>278</v>
      </c>
      <c r="C88" s="1"/>
      <c r="D88" s="1"/>
      <c r="E88" s="1"/>
      <c r="F88" s="1"/>
      <c r="G88" s="1"/>
      <c r="H88" s="1"/>
      <c r="I88" s="1"/>
      <c r="J88" s="1"/>
      <c r="K88" s="51">
        <v>0.05</v>
      </c>
      <c r="L88" s="12" t="s">
        <v>279</v>
      </c>
    </row>
    <row r="89" ht="15.0" customHeight="1">
      <c r="A89" s="1"/>
      <c r="B89" s="23" t="s">
        <v>280</v>
      </c>
      <c r="C89" s="1"/>
      <c r="D89" s="1"/>
      <c r="E89" s="1"/>
      <c r="F89" s="1"/>
      <c r="G89" s="1"/>
      <c r="H89" s="1"/>
      <c r="I89" s="1"/>
      <c r="J89" s="1"/>
      <c r="K89" s="50">
        <v>3.0</v>
      </c>
      <c r="L89" s="12" t="s">
        <v>281</v>
      </c>
    </row>
    <row r="90" ht="15.0" customHeight="1">
      <c r="A90" s="1"/>
      <c r="B90" s="23" t="s">
        <v>282</v>
      </c>
      <c r="C90" s="1"/>
      <c r="D90" s="1"/>
      <c r="E90" s="1"/>
      <c r="F90" s="1"/>
      <c r="G90" s="1"/>
      <c r="H90" s="1"/>
      <c r="I90" s="1"/>
      <c r="J90" s="1"/>
      <c r="K90" s="51">
        <v>0.06</v>
      </c>
      <c r="L90" s="12" t="s">
        <v>283</v>
      </c>
    </row>
    <row r="91" ht="15.0" customHeight="1">
      <c r="A91" s="1"/>
      <c r="B91" s="23" t="s">
        <v>284</v>
      </c>
      <c r="C91" s="1"/>
      <c r="D91" s="1"/>
      <c r="E91" s="1"/>
      <c r="F91" s="1"/>
      <c r="G91" s="1"/>
      <c r="H91" s="1"/>
      <c r="I91" s="1"/>
      <c r="J91" s="1"/>
      <c r="K91" s="51">
        <v>0.0</v>
      </c>
      <c r="L91" s="12" t="s">
        <v>286</v>
      </c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</row>
  </sheetData>
  <mergeCells count="11">
    <mergeCell ref="B72:L72"/>
    <mergeCell ref="B73:L73"/>
    <mergeCell ref="B74:L74"/>
    <mergeCell ref="B75:L75"/>
    <mergeCell ref="B2:L2"/>
    <mergeCell ref="B3:L3"/>
    <mergeCell ref="C5:E5"/>
    <mergeCell ref="F5:G5"/>
    <mergeCell ref="H5:I5"/>
    <mergeCell ref="J5:K5"/>
    <mergeCell ref="B71:L7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2.0"/>
    <col customWidth="1" min="2" max="2" width="36.0"/>
    <col customWidth="1" min="3" max="11" width="11.0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ht="21.75" customHeight="1">
      <c r="A2" s="1"/>
      <c r="B2" s="7" t="s">
        <v>2</v>
      </c>
      <c r="C2" s="3"/>
      <c r="D2" s="3"/>
      <c r="E2" s="3"/>
      <c r="F2" s="3"/>
      <c r="G2" s="3"/>
      <c r="H2" s="3"/>
      <c r="I2" s="3"/>
      <c r="J2" s="3"/>
      <c r="K2" s="4"/>
    </row>
    <row r="3" ht="15.0" customHeight="1">
      <c r="A3" s="1"/>
      <c r="B3" s="5" t="s">
        <v>6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15.0" customHeight="1">
      <c r="A5" s="1"/>
      <c r="B5" s="1"/>
      <c r="C5" s="11" t="s">
        <v>9</v>
      </c>
      <c r="D5" s="14"/>
      <c r="E5" s="15"/>
      <c r="F5" s="13" t="s">
        <v>15</v>
      </c>
      <c r="G5" s="14"/>
      <c r="H5" s="15"/>
      <c r="I5" s="17" t="s">
        <v>17</v>
      </c>
      <c r="J5" s="14"/>
      <c r="K5" s="15"/>
    </row>
    <row r="6" ht="15.0" customHeight="1">
      <c r="A6" s="1"/>
      <c r="B6" s="19" t="s">
        <v>21</v>
      </c>
      <c r="C6" s="19" t="s">
        <v>25</v>
      </c>
      <c r="D6" s="19" t="s">
        <v>26</v>
      </c>
      <c r="E6" s="19" t="s">
        <v>28</v>
      </c>
      <c r="F6" s="19" t="s">
        <v>29</v>
      </c>
      <c r="G6" s="19" t="s">
        <v>30</v>
      </c>
      <c r="H6" s="19" t="s">
        <v>31</v>
      </c>
      <c r="I6" s="19" t="s">
        <v>32</v>
      </c>
      <c r="J6" s="19" t="s">
        <v>33</v>
      </c>
      <c r="K6" s="19" t="s">
        <v>31</v>
      </c>
    </row>
    <row r="7" ht="15.0" customHeight="1">
      <c r="A7" s="1"/>
      <c r="B7" s="21" t="s">
        <v>35</v>
      </c>
      <c r="C7" s="8"/>
      <c r="D7" s="8"/>
      <c r="E7" s="8"/>
      <c r="F7" s="8"/>
      <c r="G7" s="8"/>
      <c r="H7" s="8"/>
      <c r="I7" s="8"/>
      <c r="J7" s="8"/>
      <c r="K7" s="8"/>
    </row>
    <row r="8" ht="15.0" customHeight="1">
      <c r="A8" s="1"/>
      <c r="B8" s="23" t="s">
        <v>43</v>
      </c>
      <c r="C8" s="18" t="str">
        <f>DATOS!C8</f>
        <v/>
      </c>
      <c r="D8" s="18" t="str">
        <f>DATOS!D8</f>
        <v/>
      </c>
      <c r="E8" s="18">
        <f>DATOS!E8</f>
        <v>11.6</v>
      </c>
      <c r="F8" s="18">
        <f>DATOS!F8</f>
        <v>2.13</v>
      </c>
      <c r="G8" s="18">
        <f>DATOS!G8</f>
        <v>4.66</v>
      </c>
      <c r="H8" s="36">
        <f>IFERROR((DATOS!G8-DATOS!F8)/ABS(DATOS!F8),"—")</f>
        <v>1.187793427</v>
      </c>
      <c r="I8" s="18">
        <f>DATOS!H8</f>
        <v>7.52</v>
      </c>
      <c r="J8" s="18">
        <f>DATOS!I8</f>
        <v>10.1</v>
      </c>
      <c r="K8" s="36">
        <f>IFERROR((DATOS!I8-DATOS!H8)/ABS(DATOS!H8),"—")</f>
        <v>0.3430851064</v>
      </c>
    </row>
    <row r="9" ht="15.0" customHeight="1">
      <c r="A9" s="1"/>
      <c r="B9" s="23" t="s">
        <v>128</v>
      </c>
      <c r="C9" s="18" t="str">
        <f>DATOS!C9</f>
        <v/>
      </c>
      <c r="D9" s="18" t="str">
        <f>DATOS!D9</f>
        <v/>
      </c>
      <c r="E9" s="18">
        <f>DATOS!E9</f>
        <v>12.8</v>
      </c>
      <c r="F9" s="18">
        <f>DATOS!F9</f>
        <v>2.88</v>
      </c>
      <c r="G9" s="18">
        <f>DATOS!G9</f>
        <v>3.33</v>
      </c>
      <c r="H9" s="36">
        <f>IFERROR((DATOS!G9-DATOS!F9)/ABS(DATOS!F9),"—")</f>
        <v>0.15625</v>
      </c>
      <c r="I9" s="18">
        <f>DATOS!H9</f>
        <v>6.99</v>
      </c>
      <c r="J9" s="18">
        <f>DATOS!I9</f>
        <v>11.92</v>
      </c>
      <c r="K9" s="36">
        <f>IFERROR((DATOS!I9-DATOS!H9)/ABS(DATOS!H9),"—")</f>
        <v>0.7052932761</v>
      </c>
    </row>
    <row r="10" ht="15.0" customHeight="1">
      <c r="A10" s="1"/>
      <c r="B10" s="23" t="s">
        <v>152</v>
      </c>
      <c r="C10" s="18" t="str">
        <f>DATOS!C10</f>
        <v/>
      </c>
      <c r="D10" s="18" t="str">
        <f>DATOS!D10</f>
        <v/>
      </c>
      <c r="E10" s="18">
        <f>DATOS!E10</f>
        <v>0.5</v>
      </c>
      <c r="F10" s="18">
        <f>DATOS!F10</f>
        <v>0.13</v>
      </c>
      <c r="G10" s="18">
        <f>DATOS!G10</f>
        <v>0.23</v>
      </c>
      <c r="H10" s="36">
        <f>IFERROR((DATOS!G10-DATOS!F10)/ABS(DATOS!F10),"—")</f>
        <v>0.7692307692</v>
      </c>
      <c r="I10" s="18">
        <f>DATOS!H10</f>
        <v>0.37</v>
      </c>
      <c r="J10" s="18">
        <f>DATOS!I10</f>
        <v>0.51</v>
      </c>
      <c r="K10" s="36">
        <f>IFERROR((DATOS!I10-DATOS!H10)/ABS(DATOS!H10),"—")</f>
        <v>0.3783783784</v>
      </c>
    </row>
    <row r="11" ht="15.0" customHeight="1">
      <c r="A11" s="1"/>
      <c r="B11" s="9" t="s">
        <v>92</v>
      </c>
      <c r="C11" s="34">
        <f>DATOS!C11</f>
        <v>26.1</v>
      </c>
      <c r="D11" s="34">
        <f>DATOS!D11</f>
        <v>23.1</v>
      </c>
      <c r="E11" s="34">
        <f>DATOS!E11</f>
        <v>26.1</v>
      </c>
      <c r="F11" s="34">
        <f>DATOS!F11</f>
        <v>5.14</v>
      </c>
      <c r="G11" s="34">
        <f>DATOS!G11</f>
        <v>8.22</v>
      </c>
      <c r="H11" s="36">
        <f>IFERROR((DATOS!G11-DATOS!F11)/ABS(DATOS!F11),"—")</f>
        <v>0.5992217899</v>
      </c>
      <c r="I11" s="34">
        <f>DATOS!H11</f>
        <v>14.89</v>
      </c>
      <c r="J11" s="34">
        <f>DATOS!I11</f>
        <v>22.53</v>
      </c>
      <c r="K11" s="36">
        <f>IFERROR((DATOS!I11-DATOS!H11)/ABS(DATOS!H11),"—")</f>
        <v>0.5130960376</v>
      </c>
    </row>
    <row r="12" ht="15.0" customHeight="1">
      <c r="A12" s="1"/>
      <c r="B12" s="23" t="s">
        <v>186</v>
      </c>
      <c r="C12" s="36">
        <f>IFERROR(DATOS!C8/DATOS!C11,"—")</f>
        <v>0</v>
      </c>
      <c r="D12" s="36">
        <f>IFERROR(DATOS!D8/DATOS!D11,"—")</f>
        <v>0</v>
      </c>
      <c r="E12" s="36">
        <f>IFERROR(DATOS!E8/DATOS!E11,"—")</f>
        <v>0.4444444444</v>
      </c>
      <c r="F12" s="36">
        <f>IFERROR(DATOS!F8/DATOS!F11,"—")</f>
        <v>0.4143968872</v>
      </c>
      <c r="G12" s="36">
        <f>IFERROR(DATOS!G8/DATOS!G11,"—")</f>
        <v>0.5669099757</v>
      </c>
      <c r="H12" s="42"/>
      <c r="I12" s="36">
        <f>IFERROR(DATOS!H8/DATOS!H11,"—")</f>
        <v>0.5050369375</v>
      </c>
      <c r="J12" s="36">
        <f>IFERROR(DATOS!I8/DATOS!I11,"—")</f>
        <v>0.4482911673</v>
      </c>
      <c r="K12" s="42"/>
    </row>
    <row r="13" ht="15.0" customHeight="1">
      <c r="A13" s="1"/>
      <c r="B13" s="23" t="s">
        <v>207</v>
      </c>
      <c r="C13" s="36">
        <f>IFERROR(DATOS!C9/DATOS!C11,"—")</f>
        <v>0</v>
      </c>
      <c r="D13" s="36">
        <f>IFERROR(DATOS!D9/DATOS!D11,"—")</f>
        <v>0</v>
      </c>
      <c r="E13" s="36">
        <f>IFERROR(DATOS!E9/DATOS!E11,"—")</f>
        <v>0.4904214559</v>
      </c>
      <c r="F13" s="36">
        <f>IFERROR(DATOS!F9/DATOS!F11,"—")</f>
        <v>0.560311284</v>
      </c>
      <c r="G13" s="36">
        <f>IFERROR(DATOS!G9/DATOS!G11,"—")</f>
        <v>0.4051094891</v>
      </c>
      <c r="H13" s="42"/>
      <c r="I13" s="36">
        <f>IFERROR(DATOS!H9/DATOS!H11,"—")</f>
        <v>0.4694425789</v>
      </c>
      <c r="J13" s="36">
        <f>IFERROR(DATOS!I9/DATOS!I11,"—")</f>
        <v>0.529072348</v>
      </c>
      <c r="K13" s="42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ht="15.0" customHeight="1">
      <c r="A15" s="1"/>
      <c r="B15" s="21" t="s">
        <v>230</v>
      </c>
      <c r="C15" s="8"/>
      <c r="D15" s="8"/>
      <c r="E15" s="8"/>
      <c r="F15" s="8"/>
      <c r="G15" s="8"/>
      <c r="H15" s="8"/>
      <c r="I15" s="8"/>
      <c r="J15" s="8"/>
      <c r="K15" s="8"/>
    </row>
    <row r="16" ht="15.0" customHeight="1">
      <c r="A16" s="1"/>
      <c r="B16" s="23" t="s">
        <v>233</v>
      </c>
      <c r="C16" s="18" t="str">
        <f>DATOS!C15</f>
        <v/>
      </c>
      <c r="D16" s="18" t="str">
        <f>DATOS!D15</f>
        <v/>
      </c>
      <c r="E16" s="18" t="str">
        <f>DATOS!E15</f>
        <v/>
      </c>
      <c r="F16" s="18">
        <f>DATOS!F15</f>
        <v>1.88</v>
      </c>
      <c r="G16" s="18">
        <f>DATOS!G15</f>
        <v>3.94</v>
      </c>
      <c r="H16" s="36">
        <f>IFERROR((DATOS!G15-DATOS!F15)/ABS(DATOS!F15),"—")</f>
        <v>1.095744681</v>
      </c>
      <c r="I16" s="18">
        <f>DATOS!H15</f>
        <v>6.44</v>
      </c>
      <c r="J16" s="18">
        <f>DATOS!I15</f>
        <v>9.21</v>
      </c>
      <c r="K16" s="36">
        <f>IFERROR((DATOS!I15-DATOS!H15)/ABS(DATOS!H15),"—")</f>
        <v>0.4301242236</v>
      </c>
    </row>
    <row r="17" ht="15.0" customHeight="1">
      <c r="A17" s="1"/>
      <c r="B17" s="9" t="s">
        <v>245</v>
      </c>
      <c r="C17" s="34" t="str">
        <f>DATOS!C16</f>
        <v/>
      </c>
      <c r="D17" s="34" t="str">
        <f>DATOS!D16</f>
        <v/>
      </c>
      <c r="E17" s="34" t="str">
        <f>DATOS!E16</f>
        <v/>
      </c>
      <c r="F17" s="34">
        <f>DATOS!F16</f>
        <v>3.26</v>
      </c>
      <c r="G17" s="34">
        <f>DATOS!G16</f>
        <v>4.29</v>
      </c>
      <c r="H17" s="36">
        <f>IFERROR((DATOS!G16-DATOS!F16)/ABS(DATOS!F16),"—")</f>
        <v>0.3159509202</v>
      </c>
      <c r="I17" s="34">
        <f>DATOS!H16</f>
        <v>8.45</v>
      </c>
      <c r="J17" s="34">
        <f>DATOS!I16</f>
        <v>13.32</v>
      </c>
      <c r="K17" s="36">
        <f>IFERROR((DATOS!I16-DATOS!H16)/ABS(DATOS!H16),"—")</f>
        <v>0.5763313609</v>
      </c>
    </row>
    <row r="18" ht="15.0" customHeight="1">
      <c r="A18" s="1"/>
      <c r="B18" s="9" t="s">
        <v>258</v>
      </c>
      <c r="C18" s="36">
        <f>IFERROR(DATOS!C16/DATOS!C11,"—")</f>
        <v>0</v>
      </c>
      <c r="D18" s="36">
        <f>IFERROR(DATOS!D16/DATOS!D11,"—")</f>
        <v>0</v>
      </c>
      <c r="E18" s="36">
        <f>IFERROR(DATOS!E16/DATOS!E11,"—")</f>
        <v>0</v>
      </c>
      <c r="F18" s="36">
        <f>IFERROR(DATOS!F16/DATOS!F11,"—")</f>
        <v>0.6342412451</v>
      </c>
      <c r="G18" s="36">
        <f>IFERROR(DATOS!G16/DATOS!G11,"—")</f>
        <v>0.5218978102</v>
      </c>
      <c r="H18" s="42"/>
      <c r="I18" s="36">
        <f>IFERROR(DATOS!H16/DATOS!H11,"—")</f>
        <v>0.5674949631</v>
      </c>
      <c r="J18" s="36">
        <f>IFERROR(DATOS!I16/DATOS!I11,"—")</f>
        <v>0.5912117177</v>
      </c>
      <c r="K18" s="42"/>
    </row>
    <row r="19" ht="15.0" customHeight="1">
      <c r="A19" s="1"/>
      <c r="B19" s="23" t="s">
        <v>269</v>
      </c>
      <c r="C19" s="18" t="str">
        <f>DATOS!C17</f>
        <v/>
      </c>
      <c r="D19" s="18" t="str">
        <f>DATOS!D17</f>
        <v/>
      </c>
      <c r="E19" s="18" t="str">
        <f>DATOS!E17</f>
        <v/>
      </c>
      <c r="F19" s="18">
        <f>DATOS!F17</f>
        <v>1.8</v>
      </c>
      <c r="G19" s="18">
        <f>DATOS!G17</f>
        <v>1.94</v>
      </c>
      <c r="H19" s="36">
        <f>IFERROR((DATOS!G17-DATOS!F17)/ABS(DATOS!F17),"—")</f>
        <v>0.07777777778</v>
      </c>
      <c r="I19" s="18">
        <f>DATOS!H17</f>
        <v>6.3</v>
      </c>
      <c r="J19" s="18">
        <f>DATOS!I17</f>
        <v>6</v>
      </c>
      <c r="K19" s="36">
        <f>IFERROR((DATOS!I17-DATOS!H17)/ABS(DATOS!H17),"—")</f>
        <v>-0.04761904762</v>
      </c>
    </row>
    <row r="20" ht="15.0" customHeight="1">
      <c r="A20" s="1"/>
      <c r="B20" s="23" t="s">
        <v>285</v>
      </c>
      <c r="C20" s="18" t="str">
        <f>DATOS!C18</f>
        <v/>
      </c>
      <c r="D20" s="18" t="str">
        <f>DATOS!D18</f>
        <v/>
      </c>
      <c r="E20" s="18" t="str">
        <f>DATOS!E18</f>
        <v/>
      </c>
      <c r="F20" s="18">
        <f>DATOS!F18</f>
        <v>0.13</v>
      </c>
      <c r="G20" s="18">
        <f>DATOS!G18</f>
        <v>0.23</v>
      </c>
      <c r="H20" s="36">
        <f>IFERROR((DATOS!G18-DATOS!F18)/ABS(DATOS!F18),"—")</f>
        <v>0.7692307692</v>
      </c>
      <c r="I20" s="18">
        <f>DATOS!H18</f>
        <v>0.43</v>
      </c>
      <c r="J20" s="18">
        <f>DATOS!I18</f>
        <v>0.56</v>
      </c>
      <c r="K20" s="36">
        <f>IFERROR((DATOS!I18-DATOS!H18)/ABS(DATOS!H18),"—")</f>
        <v>0.3023255814</v>
      </c>
    </row>
    <row r="21" ht="15.0" customHeight="1">
      <c r="A21" s="1"/>
      <c r="B21" s="9" t="s">
        <v>129</v>
      </c>
      <c r="C21" s="34" t="str">
        <f>DATOS!C19</f>
        <v/>
      </c>
      <c r="D21" s="34" t="str">
        <f>DATOS!D19</f>
        <v/>
      </c>
      <c r="E21" s="34" t="str">
        <f>DATOS!E19</f>
        <v/>
      </c>
      <c r="F21" s="34">
        <f>DATOS!F19</f>
        <v>1.33</v>
      </c>
      <c r="G21" s="34">
        <f>DATOS!G19</f>
        <v>2.11</v>
      </c>
      <c r="H21" s="36">
        <f>IFERROR((DATOS!G19-DATOS!F19)/ABS(DATOS!F19),"—")</f>
        <v>0.5864661654</v>
      </c>
      <c r="I21" s="34">
        <f>DATOS!H19</f>
        <v>1.73</v>
      </c>
      <c r="J21" s="34">
        <f>DATOS!I19</f>
        <v>6.76</v>
      </c>
      <c r="K21" s="36">
        <f>IFERROR((DATOS!I19-DATOS!H19)/ABS(DATOS!H19),"—")</f>
        <v>2.907514451</v>
      </c>
    </row>
    <row r="22" ht="15.0" customHeight="1">
      <c r="A22" s="1"/>
      <c r="B22" s="9" t="s">
        <v>287</v>
      </c>
      <c r="C22" s="36">
        <f>IFERROR(DATOS!C19/DATOS!C11,"—")</f>
        <v>0</v>
      </c>
      <c r="D22" s="36">
        <f>IFERROR(DATOS!D19/DATOS!D11,"—")</f>
        <v>0</v>
      </c>
      <c r="E22" s="36">
        <f>IFERROR(DATOS!E19/DATOS!E11,"—")</f>
        <v>0</v>
      </c>
      <c r="F22" s="36">
        <f>IFERROR(DATOS!F19/DATOS!F11,"—")</f>
        <v>0.2587548638</v>
      </c>
      <c r="G22" s="36">
        <f>IFERROR(DATOS!G19/DATOS!G11,"—")</f>
        <v>0.2566909976</v>
      </c>
      <c r="H22" s="42"/>
      <c r="I22" s="36">
        <f>IFERROR(DATOS!H19/DATOS!H11,"—")</f>
        <v>0.1161853593</v>
      </c>
      <c r="J22" s="36">
        <f>IFERROR(DATOS!I19/DATOS!I11,"—")</f>
        <v>0.3000443853</v>
      </c>
      <c r="K22" s="42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ht="15.0" customHeight="1">
      <c r="A24" s="1"/>
      <c r="B24" s="21" t="s">
        <v>288</v>
      </c>
      <c r="C24" s="8"/>
      <c r="D24" s="8"/>
      <c r="E24" s="8"/>
      <c r="F24" s="8"/>
      <c r="G24" s="8"/>
      <c r="H24" s="8"/>
      <c r="I24" s="8"/>
      <c r="J24" s="8"/>
      <c r="K24" s="8"/>
    </row>
    <row r="25" ht="15.0" customHeight="1">
      <c r="A25" s="1"/>
      <c r="B25" s="23" t="s">
        <v>131</v>
      </c>
      <c r="C25" s="18" t="str">
        <f>DATOS!C20</f>
        <v/>
      </c>
      <c r="D25" s="18" t="str">
        <f>DATOS!D20</f>
        <v/>
      </c>
      <c r="E25" s="18" t="str">
        <f>DATOS!E20</f>
        <v/>
      </c>
      <c r="F25" s="18">
        <f>DATOS!F20</f>
        <v>0.63</v>
      </c>
      <c r="G25" s="18">
        <f>DATOS!G20</f>
        <v>0.94</v>
      </c>
      <c r="H25" s="36">
        <f>IFERROR((DATOS!G20-DATOS!F20)/ABS(DATOS!F20),"—")</f>
        <v>0.4920634921</v>
      </c>
      <c r="I25" s="18">
        <f>DATOS!H20</f>
        <v>1.9</v>
      </c>
      <c r="J25" s="18">
        <f>DATOS!I20</f>
        <v>2.8</v>
      </c>
      <c r="K25" s="36">
        <f>IFERROR((DATOS!I20-DATOS!H20)/ABS(DATOS!H20),"—")</f>
        <v>0.4736842105</v>
      </c>
    </row>
    <row r="26" ht="15.0" customHeight="1">
      <c r="A26" s="1"/>
      <c r="B26" s="23" t="s">
        <v>137</v>
      </c>
      <c r="C26" s="18" t="str">
        <f>DATOS!C22</f>
        <v/>
      </c>
      <c r="D26" s="18" t="str">
        <f>DATOS!D22</f>
        <v/>
      </c>
      <c r="E26" s="18">
        <f>DATOS!E22</f>
        <v>6.7</v>
      </c>
      <c r="F26" s="18">
        <f>DATOS!F22</f>
        <v>1.14</v>
      </c>
      <c r="G26" s="18">
        <f>DATOS!G22</f>
        <v>0.98</v>
      </c>
      <c r="H26" s="36">
        <f>IFERROR((DATOS!G22-DATOS!F22)/ABS(DATOS!F22),"—")</f>
        <v>-0.1403508772</v>
      </c>
      <c r="I26" s="18">
        <f>DATOS!H22</f>
        <v>5.86</v>
      </c>
      <c r="J26" s="18">
        <f>DATOS!I22</f>
        <v>2.24</v>
      </c>
      <c r="K26" s="36">
        <f>IFERROR((DATOS!I22-DATOS!H22)/ABS(DATOS!H22),"—")</f>
        <v>-0.6177474403</v>
      </c>
    </row>
    <row r="27" ht="15.0" customHeight="1">
      <c r="A27" s="1"/>
      <c r="B27" s="23" t="s">
        <v>140</v>
      </c>
      <c r="C27" s="18" t="str">
        <f>DATOS!C23</f>
        <v/>
      </c>
      <c r="D27" s="18" t="str">
        <f>DATOS!D23</f>
        <v/>
      </c>
      <c r="E27" s="18" t="str">
        <f>DATOS!E23</f>
        <v/>
      </c>
      <c r="F27" s="18">
        <f>DATOS!F23</f>
        <v>2.99</v>
      </c>
      <c r="G27" s="18">
        <f>DATOS!G23</f>
        <v>3.9</v>
      </c>
      <c r="H27" s="36">
        <f>IFERROR((DATOS!G23-DATOS!F23)/ABS(DATOS!F23),"—")</f>
        <v>0.3043478261</v>
      </c>
      <c r="I27" s="18">
        <f>DATOS!H23</f>
        <v>9.28</v>
      </c>
      <c r="J27" s="18">
        <f>DATOS!I23</f>
        <v>11.45</v>
      </c>
      <c r="K27" s="36">
        <f>IFERROR((DATOS!I23-DATOS!H23)/ABS(DATOS!H23),"—")</f>
        <v>0.2338362069</v>
      </c>
    </row>
    <row r="28" ht="15.0" customHeight="1">
      <c r="A28" s="1"/>
      <c r="B28" s="23" t="s">
        <v>289</v>
      </c>
      <c r="C28" s="18" t="str">
        <f>DATOS!C24</f>
        <v/>
      </c>
      <c r="D28" s="18" t="str">
        <f>DATOS!D24</f>
        <v/>
      </c>
      <c r="E28" s="18" t="str">
        <f>DATOS!E24</f>
        <v/>
      </c>
      <c r="F28" s="18">
        <f>DATOS!F24</f>
        <v>0.74</v>
      </c>
      <c r="G28" s="18">
        <f>DATOS!G24</f>
        <v>0.96</v>
      </c>
      <c r="H28" s="36">
        <f>IFERROR((DATOS!G24-DATOS!F24)/ABS(DATOS!F24),"—")</f>
        <v>0.2972972973</v>
      </c>
      <c r="I28" s="18">
        <f>DATOS!H24</f>
        <v>2.28</v>
      </c>
      <c r="J28" s="18">
        <f>DATOS!I24</f>
        <v>2.83</v>
      </c>
      <c r="K28" s="36">
        <f>IFERROR((DATOS!I24-DATOS!H24)/ABS(DATOS!H24),"—")</f>
        <v>0.2412280702</v>
      </c>
    </row>
    <row r="29" ht="15.0" customHeight="1">
      <c r="A29" s="1"/>
      <c r="B29" s="9" t="s">
        <v>145</v>
      </c>
      <c r="C29" s="34" t="str">
        <f>DATOS!C25</f>
        <v/>
      </c>
      <c r="D29" s="34" t="str">
        <f>DATOS!D25</f>
        <v/>
      </c>
      <c r="E29" s="34" t="str">
        <f>DATOS!E25</f>
        <v/>
      </c>
      <c r="F29" s="34">
        <f>DATOS!F25</f>
        <v>2.26</v>
      </c>
      <c r="G29" s="34">
        <f>DATOS!G25</f>
        <v>2.95</v>
      </c>
      <c r="H29" s="36">
        <f>IFERROR((DATOS!G25-DATOS!F25)/ABS(DATOS!F25),"—")</f>
        <v>0.3053097345</v>
      </c>
      <c r="I29" s="34">
        <f>DATOS!H25</f>
        <v>7</v>
      </c>
      <c r="J29" s="34">
        <f>DATOS!I25</f>
        <v>8.62</v>
      </c>
      <c r="K29" s="36">
        <f>IFERROR((DATOS!I25-DATOS!H25)/ABS(DATOS!H25),"—")</f>
        <v>0.2314285714</v>
      </c>
    </row>
    <row r="30" ht="15.0" customHeight="1">
      <c r="A30" s="1"/>
      <c r="B30" s="9" t="s">
        <v>290</v>
      </c>
      <c r="C30" s="36">
        <f>IFERROR(DATOS!C25/DATOS!C11,"—")</f>
        <v>0</v>
      </c>
      <c r="D30" s="36">
        <f>IFERROR(DATOS!D25/DATOS!D11,"—")</f>
        <v>0</v>
      </c>
      <c r="E30" s="36">
        <f>IFERROR(DATOS!E25/DATOS!E11,"—")</f>
        <v>0</v>
      </c>
      <c r="F30" s="36">
        <f>IFERROR(DATOS!F25/DATOS!F11,"—")</f>
        <v>0.439688716</v>
      </c>
      <c r="G30" s="36">
        <f>IFERROR(DATOS!G25/DATOS!G11,"—")</f>
        <v>0.3588807786</v>
      </c>
      <c r="H30" s="42"/>
      <c r="I30" s="36">
        <f>IFERROR(DATOS!H25/DATOS!H11,"—")</f>
        <v>0.4701141706</v>
      </c>
      <c r="J30" s="36">
        <f>IFERROR(DATOS!I25/DATOS!I11,"—")</f>
        <v>0.3826009765</v>
      </c>
      <c r="K30" s="42"/>
    </row>
    <row r="31" ht="15.0" customHeight="1">
      <c r="A31" s="1"/>
      <c r="B31" s="23" t="s">
        <v>151</v>
      </c>
      <c r="C31" s="18" t="str">
        <f>DATOS!C27</f>
        <v/>
      </c>
      <c r="D31" s="18" t="str">
        <f>DATOS!D27</f>
        <v/>
      </c>
      <c r="E31" s="18" t="str">
        <f>DATOS!E27</f>
        <v/>
      </c>
      <c r="F31" s="18">
        <f>DATOS!F27</f>
        <v>0.09</v>
      </c>
      <c r="G31" s="18">
        <f>DATOS!G27</f>
        <v>0.12</v>
      </c>
      <c r="H31" s="36">
        <f>IFERROR((DATOS!G27-DATOS!F27)/ABS(DATOS!F27),"—")</f>
        <v>0.3333333333</v>
      </c>
      <c r="I31" s="18">
        <f>DATOS!H27</f>
        <v>0.29</v>
      </c>
      <c r="J31" s="18">
        <f>DATOS!I27</f>
        <v>0.36</v>
      </c>
      <c r="K31" s="36">
        <f>IFERROR((DATOS!I27-DATOS!H27)/ABS(DATOS!H27),"—")</f>
        <v>0.2413793103</v>
      </c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0" customHeight="1">
      <c r="A33" s="1"/>
      <c r="B33" s="52" t="s">
        <v>291</v>
      </c>
      <c r="C33" s="14"/>
      <c r="D33" s="14"/>
      <c r="E33" s="14"/>
      <c r="F33" s="14"/>
      <c r="G33" s="14"/>
      <c r="H33" s="14"/>
      <c r="I33" s="14"/>
      <c r="J33" s="14"/>
      <c r="K33" s="15"/>
    </row>
    <row r="34" ht="15.0" customHeight="1">
      <c r="A34" s="1"/>
      <c r="B34" s="19" t="s">
        <v>21</v>
      </c>
      <c r="C34" s="19" t="s">
        <v>292</v>
      </c>
      <c r="D34" s="19" t="s">
        <v>293</v>
      </c>
      <c r="E34" s="19" t="s">
        <v>31</v>
      </c>
      <c r="F34" s="13" t="s">
        <v>294</v>
      </c>
      <c r="G34" s="14"/>
      <c r="H34" s="14"/>
      <c r="I34" s="14"/>
      <c r="J34" s="14"/>
      <c r="K34" s="15"/>
    </row>
    <row r="35" ht="15.0" customHeight="1">
      <c r="A35" s="1"/>
      <c r="B35" s="9" t="s">
        <v>295</v>
      </c>
      <c r="C35" s="34">
        <f>DATOS!J11</f>
        <v>4</v>
      </c>
      <c r="D35" s="34">
        <f>DATOS!K11</f>
        <v>5.2</v>
      </c>
      <c r="E35" s="36">
        <f>IFERROR((DATOS!K11-DATOS!J11)/ABS(DATOS!J11),"—")</f>
        <v>0.3</v>
      </c>
      <c r="F35" s="53" t="s">
        <v>296</v>
      </c>
      <c r="G35" s="14"/>
      <c r="H35" s="14"/>
      <c r="I35" s="14"/>
      <c r="J35" s="14"/>
      <c r="K35" s="15"/>
    </row>
    <row r="36" ht="15.0" customHeight="1">
      <c r="A36" s="1"/>
      <c r="B36" s="9" t="s">
        <v>297</v>
      </c>
      <c r="C36" s="34">
        <f>DATOS!J25</f>
        <v>0.8</v>
      </c>
      <c r="D36" s="34">
        <f>DATOS!K25</f>
        <v>1.1</v>
      </c>
      <c r="E36" s="36">
        <f>IFERROR((DATOS!K25-DATOS!J25)/ABS(DATOS!J25),"—")</f>
        <v>0.375</v>
      </c>
      <c r="F36" s="53" t="s">
        <v>298</v>
      </c>
      <c r="G36" s="14"/>
      <c r="H36" s="14"/>
      <c r="I36" s="14"/>
      <c r="J36" s="14"/>
      <c r="K36" s="15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63.75" customHeight="1">
      <c r="A38" s="1"/>
      <c r="B38" s="47" t="s">
        <v>299</v>
      </c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10">
    <mergeCell ref="F35:K35"/>
    <mergeCell ref="F36:K36"/>
    <mergeCell ref="B38:K38"/>
    <mergeCell ref="B2:K2"/>
    <mergeCell ref="B3:K3"/>
    <mergeCell ref="C5:E5"/>
    <mergeCell ref="F5:H5"/>
    <mergeCell ref="I5:K5"/>
    <mergeCell ref="B33:K33"/>
    <mergeCell ref="F34:K34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5.0" topLeftCell="C6" activePane="bottomRight" state="frozen"/>
      <selection activeCell="C1" sqref="C1" pane="topRight"/>
      <selection activeCell="A6" sqref="A6" pane="bottomLeft"/>
      <selection activeCell="C6" sqref="C6" pane="bottomRigh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4" width="14.0"/>
    <col customWidth="1" min="5" max="5" width="48.0"/>
    <col customWidth="1" min="6" max="26" width="8.71"/>
  </cols>
  <sheetData>
    <row r="1">
      <c r="A1" s="1"/>
      <c r="B1" s="1"/>
      <c r="C1" s="1"/>
      <c r="D1" s="1"/>
      <c r="E1" s="1"/>
    </row>
    <row r="2" ht="21.75" customHeight="1">
      <c r="A2" s="1"/>
      <c r="B2" s="7" t="s">
        <v>8</v>
      </c>
      <c r="C2" s="3"/>
      <c r="D2" s="3"/>
      <c r="E2" s="4"/>
    </row>
    <row r="3" ht="15.0" customHeight="1">
      <c r="A3" s="1"/>
      <c r="B3" s="5" t="s">
        <v>13</v>
      </c>
    </row>
    <row r="4">
      <c r="A4" s="1"/>
      <c r="B4" s="1"/>
      <c r="C4" s="1"/>
      <c r="D4" s="1"/>
      <c r="E4" s="1"/>
    </row>
    <row r="5" ht="15.0" customHeight="1">
      <c r="A5" s="1"/>
      <c r="B5" s="16" t="s">
        <v>16</v>
      </c>
      <c r="C5" s="19" t="s">
        <v>19</v>
      </c>
      <c r="D5" s="19" t="s">
        <v>24</v>
      </c>
      <c r="E5" s="16" t="s">
        <v>27</v>
      </c>
    </row>
    <row r="6" ht="15.0" customHeight="1">
      <c r="A6" s="1"/>
      <c r="B6" s="20" t="s">
        <v>34</v>
      </c>
      <c r="C6" s="8"/>
      <c r="D6" s="8"/>
      <c r="E6" s="8"/>
    </row>
    <row r="7" ht="15.0" customHeight="1">
      <c r="A7" s="1"/>
      <c r="B7" s="23" t="s">
        <v>40</v>
      </c>
      <c r="C7" s="18">
        <f>DATOS!E30</f>
        <v>21.93</v>
      </c>
      <c r="D7" s="18">
        <f>DATOS!G30</f>
        <v>8.44</v>
      </c>
      <c r="E7" s="12" t="s">
        <v>60</v>
      </c>
    </row>
    <row r="8" ht="15.0" customHeight="1">
      <c r="A8" s="1"/>
      <c r="B8" s="23" t="s">
        <v>62</v>
      </c>
      <c r="C8" s="18">
        <f>DATOS!E31</f>
        <v>6.45</v>
      </c>
      <c r="D8" s="18">
        <f>DATOS!G31</f>
        <v>6.19</v>
      </c>
      <c r="E8" s="12"/>
    </row>
    <row r="9" ht="15.0" customHeight="1">
      <c r="A9" s="1"/>
      <c r="B9" s="23" t="s">
        <v>67</v>
      </c>
      <c r="C9" s="18">
        <f>DATOS!E32</f>
        <v>1.33</v>
      </c>
      <c r="D9" s="18">
        <f>DATOS!G32</f>
        <v>2.49</v>
      </c>
      <c r="E9" s="12"/>
    </row>
    <row r="10" ht="15.0" customHeight="1">
      <c r="A10" s="1"/>
      <c r="B10" s="23" t="s">
        <v>75</v>
      </c>
      <c r="C10" s="18">
        <f>DATOS!E33</f>
        <v>7.39</v>
      </c>
      <c r="D10" s="18">
        <f>DATOS!G33</f>
        <v>4.13</v>
      </c>
      <c r="E10" s="12" t="s">
        <v>91</v>
      </c>
    </row>
    <row r="11" ht="15.0" customHeight="1">
      <c r="A11" s="1"/>
      <c r="B11" s="9" t="s">
        <v>94</v>
      </c>
      <c r="C11" s="34">
        <f>DATOS!E34</f>
        <v>31.65</v>
      </c>
      <c r="D11" s="34">
        <f>DATOS!G34</f>
        <v>15.61</v>
      </c>
      <c r="E11" s="12"/>
    </row>
    <row r="12" ht="15.0" customHeight="1">
      <c r="A12" s="1"/>
      <c r="B12" s="23" t="s">
        <v>107</v>
      </c>
      <c r="C12" s="18">
        <f>DATOS!E35</f>
        <v>67.52</v>
      </c>
      <c r="D12" s="18">
        <f>DATOS!G35</f>
        <v>72.27</v>
      </c>
      <c r="E12" s="12" t="s">
        <v>118</v>
      </c>
    </row>
    <row r="13" ht="15.0" customHeight="1">
      <c r="A13" s="1"/>
      <c r="B13" s="23" t="s">
        <v>120</v>
      </c>
      <c r="C13" s="18">
        <f>DATOS!E36</f>
        <v>4.17</v>
      </c>
      <c r="D13" s="18">
        <f>DATOS!G36</f>
        <v>5.72</v>
      </c>
      <c r="E13" s="12"/>
    </row>
    <row r="14" ht="15.0" customHeight="1">
      <c r="A14" s="1"/>
      <c r="B14" s="23" t="s">
        <v>126</v>
      </c>
      <c r="C14" s="18">
        <f>DATOS!E37</f>
        <v>5.24</v>
      </c>
      <c r="D14" s="18">
        <f>DATOS!G37</f>
        <v>14.57</v>
      </c>
      <c r="E14" s="12" t="s">
        <v>133</v>
      </c>
    </row>
    <row r="15" ht="15.0" customHeight="1">
      <c r="A15" s="1"/>
      <c r="B15" s="23" t="s">
        <v>135</v>
      </c>
      <c r="C15" s="18">
        <f>DATOS!E38</f>
        <v>45</v>
      </c>
      <c r="D15" s="18">
        <f>DATOS!G38</f>
        <v>59.06</v>
      </c>
      <c r="E15" s="12" t="s">
        <v>139</v>
      </c>
    </row>
    <row r="16" ht="15.0" customHeight="1">
      <c r="A16" s="1"/>
      <c r="B16" s="9" t="s">
        <v>141</v>
      </c>
      <c r="C16" s="34">
        <f>DATOS!E39</f>
        <v>162.28</v>
      </c>
      <c r="D16" s="34">
        <f>DATOS!G39</f>
        <v>175.98</v>
      </c>
      <c r="E16" s="12"/>
    </row>
    <row r="17" ht="15.0" customHeight="1">
      <c r="A17" s="1"/>
      <c r="B17" s="20" t="s">
        <v>146</v>
      </c>
      <c r="C17" s="8"/>
      <c r="D17" s="8"/>
      <c r="E17" s="8"/>
    </row>
    <row r="18" ht="15.0" customHeight="1">
      <c r="A18" s="1"/>
      <c r="B18" s="23" t="s">
        <v>149</v>
      </c>
      <c r="C18" s="18">
        <f>DATOS!E40</f>
        <v>7.85</v>
      </c>
      <c r="D18" s="18">
        <f>DATOS!G40</f>
        <v>5.98</v>
      </c>
      <c r="E18" s="12"/>
    </row>
    <row r="19" ht="15.0" customHeight="1">
      <c r="A19" s="1"/>
      <c r="B19" s="23" t="s">
        <v>153</v>
      </c>
      <c r="C19" s="18">
        <f>DATOS!E41</f>
        <v>3.36</v>
      </c>
      <c r="D19" s="18">
        <f>DATOS!G41</f>
        <v>2.75</v>
      </c>
      <c r="E19" s="12"/>
    </row>
    <row r="20" ht="15.0" customHeight="1">
      <c r="A20" s="1"/>
      <c r="B20" s="9" t="s">
        <v>155</v>
      </c>
      <c r="C20" s="34">
        <f>DATOS!E43</f>
        <v>11.62</v>
      </c>
      <c r="D20" s="34">
        <f>DATOS!G43</f>
        <v>10.18</v>
      </c>
      <c r="E20" s="12"/>
    </row>
    <row r="21" ht="15.0" customHeight="1">
      <c r="A21" s="1"/>
      <c r="B21" s="23" t="s">
        <v>159</v>
      </c>
      <c r="C21" s="18">
        <f>DATOS!E44</f>
        <v>6.38</v>
      </c>
      <c r="D21" s="18">
        <f>DATOS!G44</f>
        <v>12.67</v>
      </c>
      <c r="E21" s="12" t="s">
        <v>165</v>
      </c>
    </row>
    <row r="22" ht="15.0" customHeight="1">
      <c r="A22" s="1"/>
      <c r="B22" s="9" t="s">
        <v>167</v>
      </c>
      <c r="C22" s="34">
        <f>DATOS!E46</f>
        <v>19.54</v>
      </c>
      <c r="D22" s="34">
        <f>DATOS!G46</f>
        <v>24.39</v>
      </c>
      <c r="E22" s="12"/>
    </row>
    <row r="23" ht="15.0" customHeight="1">
      <c r="A23" s="1"/>
      <c r="B23" s="9" t="s">
        <v>172</v>
      </c>
      <c r="C23" s="34">
        <f>DATOS!E47</f>
        <v>142.74</v>
      </c>
      <c r="D23" s="34">
        <f>DATOS!G47</f>
        <v>151.58</v>
      </c>
      <c r="E23" s="12" t="s">
        <v>176</v>
      </c>
    </row>
    <row r="24" ht="15.0" customHeight="1">
      <c r="A24" s="1"/>
      <c r="B24" s="23" t="s">
        <v>178</v>
      </c>
      <c r="C24" s="18">
        <f>DATOS!E48</f>
        <v>-32.79</v>
      </c>
      <c r="D24" s="18">
        <f>DATOS!G48</f>
        <v>-24.37</v>
      </c>
      <c r="E24" s="12" t="s">
        <v>181</v>
      </c>
    </row>
    <row r="25" ht="15.75" customHeight="1">
      <c r="A25" s="1"/>
      <c r="B25" s="1"/>
      <c r="C25" s="1"/>
      <c r="D25" s="1"/>
      <c r="E25" s="1"/>
    </row>
    <row r="26" ht="15.0" customHeight="1">
      <c r="A26" s="1"/>
      <c r="B26" s="20" t="s">
        <v>184</v>
      </c>
      <c r="C26" s="8"/>
      <c r="D26" s="8"/>
      <c r="E26" s="8"/>
    </row>
    <row r="27" ht="15.0" customHeight="1">
      <c r="A27" s="1"/>
      <c r="B27" s="23" t="s">
        <v>188</v>
      </c>
      <c r="C27" s="41">
        <f>IFERROR(DATOS!E45-DATOS!E30,"n/d")</f>
        <v>-15.14</v>
      </c>
      <c r="D27" s="41">
        <f>IFERROR(DATOS!G45-DATOS!G30,"n/d")</f>
        <v>5.68</v>
      </c>
      <c r="E27" s="12" t="s">
        <v>198</v>
      </c>
    </row>
    <row r="28" ht="15.0" customHeight="1">
      <c r="A28" s="1"/>
      <c r="B28" s="23" t="s">
        <v>200</v>
      </c>
      <c r="C28" s="43">
        <f>IFERROR(DATOS!E34/DATOS!E43,"n/d")</f>
        <v>2.723752151</v>
      </c>
      <c r="D28" s="43">
        <f>IFERROR(DATOS!G34/DATOS!G43,"n/d")</f>
        <v>1.533398821</v>
      </c>
      <c r="E28" s="12" t="s">
        <v>206</v>
      </c>
    </row>
    <row r="29" ht="15.0" customHeight="1">
      <c r="A29" s="1"/>
      <c r="B29" s="23" t="s">
        <v>209</v>
      </c>
      <c r="C29" s="43">
        <f>IFERROR(DATOS!E45/DATOS!E47,"n/d")</f>
        <v>0.04756900659</v>
      </c>
      <c r="D29" s="43">
        <f>IFERROR(DATOS!G45/DATOS!G47,"n/d")</f>
        <v>0.09315213089</v>
      </c>
      <c r="E29" s="12" t="s">
        <v>216</v>
      </c>
    </row>
    <row r="30" ht="15.0" customHeight="1">
      <c r="A30" s="1"/>
      <c r="B30" s="23" t="s">
        <v>219</v>
      </c>
      <c r="C30" s="36">
        <f>IFERROR(DATOS!E47/DATOS!E39,"n/d")</f>
        <v>0.8795908307</v>
      </c>
      <c r="D30" s="36">
        <f>IFERROR(DATOS!G47/DATOS!G39,"n/d")</f>
        <v>0.8613478804</v>
      </c>
      <c r="E30" s="12" t="s">
        <v>226</v>
      </c>
    </row>
    <row r="31" ht="15.0" customHeight="1">
      <c r="A31" s="1"/>
      <c r="B31" s="23" t="s">
        <v>227</v>
      </c>
      <c r="C31" s="45">
        <f>IFERROR(DATOS!E47/DATOS!I28,"n/d")</f>
        <v>5.922821577</v>
      </c>
      <c r="D31" s="45">
        <f>IFERROR(DATOS!G47/DATOS!I28,"n/d")</f>
        <v>6.289626556</v>
      </c>
      <c r="E31" s="12" t="s">
        <v>237</v>
      </c>
    </row>
    <row r="32" ht="15.75" customHeight="1">
      <c r="A32" s="1"/>
      <c r="B32" s="1"/>
      <c r="C32" s="1"/>
      <c r="D32" s="1"/>
      <c r="E32" s="1"/>
    </row>
    <row r="33" ht="60.0" customHeight="1">
      <c r="A33" s="1"/>
      <c r="B33" s="47" t="s">
        <v>241</v>
      </c>
    </row>
    <row r="34" ht="15.75" customHeight="1">
      <c r="A34" s="1"/>
      <c r="B34" s="1"/>
      <c r="C34" s="1"/>
      <c r="D34" s="1"/>
      <c r="E34" s="1"/>
    </row>
    <row r="35" ht="15.75" customHeight="1">
      <c r="A35" s="1"/>
      <c r="B35" s="1"/>
      <c r="C35" s="1"/>
      <c r="D35" s="1"/>
      <c r="E35" s="1"/>
    </row>
    <row r="36" ht="15.75" customHeight="1">
      <c r="A36" s="1"/>
      <c r="B36" s="1"/>
      <c r="C36" s="1"/>
      <c r="D36" s="1"/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3">
    <mergeCell ref="B2:E2"/>
    <mergeCell ref="B3:E3"/>
    <mergeCell ref="B33:E33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6.0"/>
    <col customWidth="1" min="3" max="4" width="13.0"/>
    <col customWidth="1" min="5" max="5" width="52.0"/>
    <col customWidth="1" min="6" max="26" width="8.71"/>
  </cols>
  <sheetData>
    <row r="1">
      <c r="A1" s="1"/>
      <c r="B1" s="1"/>
      <c r="C1" s="1"/>
      <c r="D1" s="1"/>
      <c r="E1" s="1"/>
    </row>
    <row r="2" ht="30.0" customHeight="1">
      <c r="A2" s="1"/>
      <c r="B2" s="54" t="s">
        <v>300</v>
      </c>
      <c r="C2" s="3"/>
      <c r="D2" s="3"/>
      <c r="E2" s="4"/>
    </row>
    <row r="3" ht="15.0" customHeight="1">
      <c r="A3" s="1"/>
      <c r="B3" s="5" t="s">
        <v>301</v>
      </c>
    </row>
    <row r="4">
      <c r="A4" s="1"/>
      <c r="B4" s="1"/>
      <c r="C4" s="1"/>
      <c r="D4" s="1"/>
      <c r="E4" s="1"/>
    </row>
    <row r="5" ht="15.0" customHeight="1">
      <c r="A5" s="1"/>
      <c r="B5" s="16" t="s">
        <v>302</v>
      </c>
      <c r="C5" s="19" t="s">
        <v>42</v>
      </c>
      <c r="D5" s="19" t="s">
        <v>303</v>
      </c>
      <c r="E5" s="16" t="s">
        <v>304</v>
      </c>
    </row>
    <row r="6" ht="15.0" customHeight="1">
      <c r="A6" s="1"/>
      <c r="B6" s="55" t="s">
        <v>305</v>
      </c>
      <c r="C6" s="56"/>
      <c r="D6" s="56"/>
      <c r="E6" s="56"/>
    </row>
    <row r="7" ht="15.0" customHeight="1">
      <c r="A7" s="1"/>
      <c r="B7" s="23" t="s">
        <v>200</v>
      </c>
      <c r="C7" s="43">
        <f>IFERROR(DATOS!E34/DATOS!E43,"n/d")</f>
        <v>2.723752151</v>
      </c>
      <c r="D7" s="43">
        <f>IFERROR(DATOS!G34/DATOS!G43,"n/d")</f>
        <v>1.533398821</v>
      </c>
      <c r="E7" s="57" t="s">
        <v>306</v>
      </c>
    </row>
    <row r="8" ht="15.0" customHeight="1">
      <c r="A8" s="1"/>
      <c r="B8" s="23" t="s">
        <v>307</v>
      </c>
      <c r="C8" s="43">
        <f>IFERROR((DATOS!E34-DATOS!E33)/DATOS!E43,"n/d")</f>
        <v>2.08777969</v>
      </c>
      <c r="D8" s="43">
        <f>IFERROR((DATOS!G34-DATOS!G33)/DATOS!G43,"n/d")</f>
        <v>1.127701375</v>
      </c>
      <c r="E8" s="57" t="s">
        <v>308</v>
      </c>
    </row>
    <row r="9" ht="15.0" customHeight="1">
      <c r="A9" s="1"/>
      <c r="B9" s="23" t="s">
        <v>309</v>
      </c>
      <c r="C9" s="43">
        <f>IFERROR(DATOS!E30/DATOS!E43,"n/d")</f>
        <v>1.887263339</v>
      </c>
      <c r="D9" s="43">
        <f>IFERROR(DATOS!G30/DATOS!G43,"n/d")</f>
        <v>0.8290766208</v>
      </c>
      <c r="E9" s="57" t="s">
        <v>310</v>
      </c>
    </row>
    <row r="10" ht="15.0" customHeight="1">
      <c r="A10" s="1"/>
      <c r="B10" s="23" t="s">
        <v>311</v>
      </c>
      <c r="C10" s="41">
        <f>IFERROR(DATOS!E34-DATOS!E43,"n/d")</f>
        <v>20.03</v>
      </c>
      <c r="D10" s="41">
        <f>IFERROR(DATOS!G34-DATOS!G43,"n/d")</f>
        <v>5.43</v>
      </c>
      <c r="E10" s="57" t="s">
        <v>312</v>
      </c>
    </row>
    <row r="11" ht="15.0" customHeight="1">
      <c r="A11" s="1"/>
      <c r="B11" s="23" t="s">
        <v>313</v>
      </c>
      <c r="C11" s="41">
        <f>IFERROR(DATOS!E30+DATOS!E31+DATOS!E38,"n/d")</f>
        <v>73.38</v>
      </c>
      <c r="D11" s="41">
        <f>IFERROR(DATOS!G30+DATOS!G31+DATOS!G38,"n/d")</f>
        <v>73.69</v>
      </c>
      <c r="E11" s="57" t="s">
        <v>314</v>
      </c>
    </row>
    <row r="12" ht="15.0" customHeight="1">
      <c r="A12" s="1"/>
      <c r="B12" s="55" t="s">
        <v>315</v>
      </c>
      <c r="C12" s="56"/>
      <c r="D12" s="56"/>
      <c r="E12" s="56"/>
    </row>
    <row r="13" ht="15.0" customHeight="1">
      <c r="A13" s="1"/>
      <c r="B13" s="23" t="s">
        <v>316</v>
      </c>
      <c r="C13" s="43">
        <f>IFERROR(DATOS!E11/DATOS!E32,"n/d")</f>
        <v>19.62406015</v>
      </c>
      <c r="D13" s="43">
        <f>IFERROR(DATOS!I11/DATOS!G32,"n/d")</f>
        <v>9.048192771</v>
      </c>
      <c r="E13" s="57" t="s">
        <v>317</v>
      </c>
    </row>
    <row r="14" ht="15.0" customHeight="1">
      <c r="A14" s="1"/>
      <c r="B14" s="23" t="s">
        <v>318</v>
      </c>
      <c r="C14" s="58">
        <f>IFERROR(365*DATOS!E32/DATOS!E11,"n/d")</f>
        <v>18.59961686</v>
      </c>
      <c r="D14" s="58">
        <f>IFERROR(365*DATOS!G32/DATOS!I11,"n/d")</f>
        <v>40.33954727</v>
      </c>
      <c r="E14" s="57" t="s">
        <v>319</v>
      </c>
    </row>
    <row r="15" ht="15.0" customHeight="1">
      <c r="A15" s="1"/>
      <c r="B15" s="23" t="s">
        <v>320</v>
      </c>
      <c r="C15" s="43">
        <f>IFERROR(DATOS!E15/DATOS!E33,"n/d")</f>
        <v>0</v>
      </c>
      <c r="D15" s="43">
        <f>IFERROR(DATOS!I15/DATOS!G33,"n/d")</f>
        <v>2.230024213</v>
      </c>
      <c r="E15" s="57" t="s">
        <v>321</v>
      </c>
    </row>
    <row r="16" ht="15.0" customHeight="1">
      <c r="A16" s="1"/>
      <c r="B16" s="23" t="s">
        <v>322</v>
      </c>
      <c r="C16" s="58" t="str">
        <f>IFERROR(365*DATOS!E33/DATOS!E15,"n/d")</f>
        <v>n/d</v>
      </c>
      <c r="D16" s="58">
        <f>IFERROR(365*DATOS!G33/DATOS!I15,"n/d")</f>
        <v>163.6753529</v>
      </c>
      <c r="E16" s="57" t="s">
        <v>323</v>
      </c>
    </row>
    <row r="17" ht="15.0" customHeight="1">
      <c r="A17" s="1"/>
      <c r="B17" s="23" t="s">
        <v>324</v>
      </c>
      <c r="C17" s="43">
        <f>IFERROR(DATOS!E15/DATOS!E40,"n/d")</f>
        <v>0</v>
      </c>
      <c r="D17" s="43">
        <f>IFERROR(DATOS!I15/DATOS!G40,"n/d")</f>
        <v>1.540133779</v>
      </c>
      <c r="E17" s="57" t="s">
        <v>325</v>
      </c>
    </row>
    <row r="18" ht="15.0" customHeight="1">
      <c r="A18" s="1"/>
      <c r="B18" s="23" t="s">
        <v>326</v>
      </c>
      <c r="C18" s="58" t="str">
        <f>IFERROR(365*DATOS!E40/DATOS!E15,"n/d")</f>
        <v>n/d</v>
      </c>
      <c r="D18" s="58">
        <f>IFERROR(365*DATOS!G40/DATOS!I15,"n/d")</f>
        <v>236.9923996</v>
      </c>
      <c r="E18" s="57" t="s">
        <v>327</v>
      </c>
    </row>
    <row r="19" ht="15.0" customHeight="1">
      <c r="A19" s="1"/>
      <c r="B19" s="9" t="s">
        <v>328</v>
      </c>
      <c r="C19" s="58" t="str">
        <f>IFERROR(365*DATOS!E33/DATOS!E15+365*DATOS!E32/DATOS!E11-365*DATOS!E40/DATOS!E15,"n/d")</f>
        <v>n/d</v>
      </c>
      <c r="D19" s="58">
        <f>IFERROR(365*DATOS!G33/DATOS!I15+365*DATOS!G32/DATOS!I11-365*DATOS!G40/DATOS!I15,"n/d")</f>
        <v>-32.97749942</v>
      </c>
      <c r="E19" s="57" t="s">
        <v>329</v>
      </c>
    </row>
    <row r="20" ht="15.0" customHeight="1">
      <c r="A20" s="1"/>
      <c r="B20" s="23" t="s">
        <v>330</v>
      </c>
      <c r="C20" s="43">
        <f>IFERROR(DATOS!E11/DATOS!E39,"n/d")</f>
        <v>0.1608331279</v>
      </c>
      <c r="D20" s="43">
        <f>IFERROR(DATOS!I11/DATOS!G39,"n/d")</f>
        <v>0.128025912</v>
      </c>
      <c r="E20" s="57" t="s">
        <v>331</v>
      </c>
    </row>
    <row r="21" ht="15.0" customHeight="1">
      <c r="A21" s="1"/>
      <c r="B21" s="23" t="s">
        <v>332</v>
      </c>
      <c r="C21" s="43">
        <f>IFERROR(DATOS!E8/DATOS!E35,"n/d")</f>
        <v>0.1718009479</v>
      </c>
      <c r="D21" s="43">
        <f>IFERROR(DATOS!I8/DATOS!G35,"n/d")</f>
        <v>0.1397537014</v>
      </c>
      <c r="E21" s="57" t="s">
        <v>333</v>
      </c>
    </row>
    <row r="22" ht="15.0" customHeight="1">
      <c r="A22" s="1"/>
      <c r="B22" s="55" t="s">
        <v>334</v>
      </c>
      <c r="C22" s="56"/>
      <c r="D22" s="56"/>
      <c r="E22" s="56"/>
    </row>
    <row r="23" ht="15.0" customHeight="1">
      <c r="A23" s="1"/>
      <c r="B23" s="23" t="s">
        <v>335</v>
      </c>
      <c r="C23" s="36">
        <f>IFERROR(DATOS!E46/DATOS!E39,"n/d")</f>
        <v>0.1204091693</v>
      </c>
      <c r="D23" s="36">
        <f>IFERROR(DATOS!G46/DATOS!G39,"n/d")</f>
        <v>0.1385952949</v>
      </c>
      <c r="E23" s="57" t="s">
        <v>336</v>
      </c>
    </row>
    <row r="24" ht="15.0" customHeight="1">
      <c r="A24" s="1"/>
      <c r="B24" s="23" t="s">
        <v>337</v>
      </c>
      <c r="C24" s="43">
        <f>IFERROR(DATOS!E46/DATOS!E47,"n/d")</f>
        <v>0.1368922516</v>
      </c>
      <c r="D24" s="43">
        <f>IFERROR(DATOS!G46/DATOS!G47,"n/d")</f>
        <v>0.1609051326</v>
      </c>
      <c r="E24" s="57" t="s">
        <v>338</v>
      </c>
    </row>
    <row r="25" ht="15.0" customHeight="1">
      <c r="A25" s="1"/>
      <c r="B25" s="23" t="s">
        <v>339</v>
      </c>
      <c r="C25" s="43">
        <f>IFERROR(DATOS!E45/DATOS!E47,"n/d")</f>
        <v>0.04756900659</v>
      </c>
      <c r="D25" s="43">
        <f>IFERROR(DATOS!G45/DATOS!G47,"n/d")</f>
        <v>0.09315213089</v>
      </c>
      <c r="E25" s="57" t="s">
        <v>340</v>
      </c>
    </row>
    <row r="26" ht="15.0" customHeight="1">
      <c r="A26" s="1"/>
      <c r="B26" s="23" t="s">
        <v>341</v>
      </c>
      <c r="C26" s="43" t="str">
        <f>IFERROR(DATOS!E19/DATOS!E21,"n/d")</f>
        <v>n/d</v>
      </c>
      <c r="D26" s="43">
        <f>IFERROR(DATOS!I19/DATOS!I21,"n/d")</f>
        <v>17.33333333</v>
      </c>
      <c r="E26" s="57" t="s">
        <v>342</v>
      </c>
    </row>
    <row r="27" ht="15.0" customHeight="1">
      <c r="A27" s="1"/>
      <c r="B27" s="23" t="s">
        <v>343</v>
      </c>
      <c r="C27" s="36">
        <f>IFERROR(DATOS!E42/DATOS!E45,"n/d")</f>
        <v>0.06038291605</v>
      </c>
      <c r="D27" s="36">
        <f>IFERROR(DATOS!G42/DATOS!G45,"n/d")</f>
        <v>0.1026912181</v>
      </c>
      <c r="E27" s="57" t="s">
        <v>344</v>
      </c>
    </row>
    <row r="28" ht="15.0" customHeight="1">
      <c r="A28" s="1"/>
      <c r="B28" s="55" t="s">
        <v>345</v>
      </c>
      <c r="C28" s="56"/>
      <c r="D28" s="56"/>
      <c r="E28" s="56"/>
    </row>
    <row r="29" ht="15.0" customHeight="1">
      <c r="A29" s="1"/>
      <c r="B29" s="23" t="s">
        <v>346</v>
      </c>
      <c r="C29" s="36">
        <f>IFERROR(DATOS!E16/DATOS!E11,"n/d")</f>
        <v>0</v>
      </c>
      <c r="D29" s="36">
        <f>IFERROR(DATOS!I16/DATOS!I11,"n/d")</f>
        <v>0.5912117177</v>
      </c>
      <c r="E29" s="57" t="s">
        <v>347</v>
      </c>
    </row>
    <row r="30" ht="15.0" customHeight="1">
      <c r="A30" s="1"/>
      <c r="B30" s="23" t="s">
        <v>348</v>
      </c>
      <c r="C30" s="36">
        <f>IFERROR(DATOS!E19/DATOS!E11,"n/d")</f>
        <v>0</v>
      </c>
      <c r="D30" s="36">
        <f>IFERROR(DATOS!I19/DATOS!I11,"n/d")</f>
        <v>0.3000443853</v>
      </c>
      <c r="E30" s="57" t="s">
        <v>349</v>
      </c>
    </row>
    <row r="31" ht="15.0" customHeight="1">
      <c r="A31" s="1"/>
      <c r="B31" s="23" t="s">
        <v>350</v>
      </c>
      <c r="C31" s="36">
        <f>IFERROR(DATOS!E26/DATOS!E11,"n/d")</f>
        <v>0.7739463602</v>
      </c>
      <c r="D31" s="36">
        <f>IFERROR(DATOS!I26/DATOS!I11,"n/d")</f>
        <v>0</v>
      </c>
      <c r="E31" s="57" t="s">
        <v>351</v>
      </c>
    </row>
    <row r="32" ht="15.0" customHeight="1">
      <c r="A32" s="1"/>
      <c r="B32" s="23" t="s">
        <v>352</v>
      </c>
      <c r="C32" s="36">
        <f>IFERROR(DATOS!E25/DATOS!E11,"n/d")</f>
        <v>0</v>
      </c>
      <c r="D32" s="36">
        <f>IFERROR(DATOS!I25/DATOS!I11,"n/d")</f>
        <v>0.3826009765</v>
      </c>
      <c r="E32" s="57" t="s">
        <v>353</v>
      </c>
    </row>
    <row r="33" ht="15.0" customHeight="1">
      <c r="A33" s="1"/>
      <c r="B33" s="23" t="s">
        <v>354</v>
      </c>
      <c r="C33" s="36">
        <f>IFERROR(DATOS!E25/DATOS!E39,"n/d")</f>
        <v>0</v>
      </c>
      <c r="D33" s="36">
        <f>IFERROR(DATOS!I25/DATOS!G39,"n/d")</f>
        <v>0.04898283896</v>
      </c>
      <c r="E33" s="57" t="s">
        <v>355</v>
      </c>
    </row>
    <row r="34" ht="15.0" customHeight="1">
      <c r="A34" s="1"/>
      <c r="B34" s="23" t="s">
        <v>356</v>
      </c>
      <c r="C34" s="36">
        <f>IFERROR(DATOS!E25/DATOS!E47,"n/d")</f>
        <v>0</v>
      </c>
      <c r="D34" s="36">
        <f>IFERROR(DATOS!I25/DATOS!G47,"n/d")</f>
        <v>0.05686766064</v>
      </c>
      <c r="E34" s="57" t="s">
        <v>357</v>
      </c>
    </row>
    <row r="35" ht="15.0" customHeight="1">
      <c r="A35" s="1"/>
      <c r="B35" s="23" t="s">
        <v>358</v>
      </c>
      <c r="C35" s="36">
        <f>IFERROR((DATOS!E19*(1-0.24))/(DATOS!E47+DATOS!E45-DATOS!E30),"n/d")</f>
        <v>0</v>
      </c>
      <c r="D35" s="36">
        <f>IFERROR((DATOS!I19*(1-0.24))/(DATOS!G47+DATOS!G45-DATOS!G30),"n/d")</f>
        <v>0.03266946458</v>
      </c>
      <c r="E35" s="57" t="s">
        <v>359</v>
      </c>
    </row>
    <row r="36" ht="23.25" customHeight="1">
      <c r="A36" s="1"/>
      <c r="B36" s="55" t="s">
        <v>360</v>
      </c>
      <c r="C36" s="56"/>
      <c r="D36" s="56"/>
      <c r="E36" s="56"/>
    </row>
    <row r="37" ht="15.0" customHeight="1">
      <c r="A37" s="1"/>
      <c r="B37" s="23" t="s">
        <v>361</v>
      </c>
      <c r="C37" s="36">
        <f>IFERROR(DATOS!E25/DATOS!E11,"n/d")</f>
        <v>0</v>
      </c>
      <c r="D37" s="36">
        <f>IFERROR(DATOS!I25/DATOS!I11,"n/d")</f>
        <v>0.3826009765</v>
      </c>
      <c r="E37" s="57" t="s">
        <v>362</v>
      </c>
    </row>
    <row r="38" ht="15.0" customHeight="1">
      <c r="A38" s="1"/>
      <c r="B38" s="23" t="s">
        <v>363</v>
      </c>
      <c r="C38" s="43">
        <f>IFERROR(DATOS!E11/DATOS!E39,"n/d")</f>
        <v>0.1608331279</v>
      </c>
      <c r="D38" s="43">
        <f>IFERROR(DATOS!I11/DATOS!G39,"n/d")</f>
        <v>0.128025912</v>
      </c>
      <c r="E38" s="57" t="s">
        <v>364</v>
      </c>
    </row>
    <row r="39" ht="15.0" customHeight="1">
      <c r="A39" s="1"/>
      <c r="B39" s="23" t="s">
        <v>365</v>
      </c>
      <c r="C39" s="43">
        <f>IFERROR(DATOS!E39/DATOS!E47,"n/d")</f>
        <v>1.136892252</v>
      </c>
      <c r="D39" s="43">
        <f>IFERROR(DATOS!G39/DATOS!G47,"n/d")</f>
        <v>1.160971104</v>
      </c>
      <c r="E39" s="57" t="s">
        <v>366</v>
      </c>
    </row>
    <row r="40" ht="15.0" customHeight="1">
      <c r="A40" s="1"/>
      <c r="B40" s="9" t="s">
        <v>367</v>
      </c>
      <c r="C40" s="36">
        <f>IFERROR((DATOS!E25/DATOS!E11)*(DATOS!E11/DATOS!E39)*(DATOS!E39/DATOS!E47),"n/d")</f>
        <v>0</v>
      </c>
      <c r="D40" s="36">
        <f>IFERROR((DATOS!I25/DATOS!I11)*(DATOS!I11/DATOS!G39)*(DATOS!G39/DATOS!G47),"n/d")</f>
        <v>0.05686766064</v>
      </c>
      <c r="E40" s="57" t="s">
        <v>368</v>
      </c>
    </row>
    <row r="41" ht="23.25" customHeight="1">
      <c r="A41" s="1"/>
      <c r="B41" s="55" t="s">
        <v>369</v>
      </c>
      <c r="C41" s="56"/>
      <c r="D41" s="56"/>
      <c r="E41" s="56"/>
    </row>
    <row r="42" ht="15.0" customHeight="1">
      <c r="A42" s="1"/>
      <c r="B42" s="59" t="s">
        <v>370</v>
      </c>
      <c r="C42" s="60" t="s">
        <v>371</v>
      </c>
      <c r="D42" s="60" t="s">
        <v>372</v>
      </c>
      <c r="E42" s="59" t="s">
        <v>373</v>
      </c>
    </row>
    <row r="43" ht="15.0" customHeight="1">
      <c r="A43" s="1"/>
      <c r="B43" s="23" t="s">
        <v>374</v>
      </c>
      <c r="C43" s="36">
        <f>IFERROR((DATOS!I8-DATOS!I12)/DATOS!I8,"n/d")</f>
        <v>0.5445544554</v>
      </c>
      <c r="D43" s="18">
        <f>DATOS!I8</f>
        <v>10.1</v>
      </c>
      <c r="E43" s="57" t="s">
        <v>375</v>
      </c>
    </row>
    <row r="44" ht="15.0" customHeight="1">
      <c r="A44" s="1"/>
      <c r="B44" s="23" t="s">
        <v>376</v>
      </c>
      <c r="C44" s="36">
        <f>IFERROR((DATOS!I9-DATOS!I13)/DATOS!I9,"n/d")</f>
        <v>0.6283557047</v>
      </c>
      <c r="D44" s="18">
        <f>DATOS!I9</f>
        <v>11.92</v>
      </c>
      <c r="E44" s="57" t="s">
        <v>377</v>
      </c>
    </row>
    <row r="45" ht="15.0" customHeight="1">
      <c r="A45" s="1"/>
      <c r="B45" s="23" t="s">
        <v>378</v>
      </c>
      <c r="C45" s="36">
        <f>IFERROR((DATOS!I10-DATOS!I14)/DATOS!I10,"n/d")</f>
        <v>0.6470588235</v>
      </c>
      <c r="D45" s="18">
        <f>DATOS!I10</f>
        <v>0.51</v>
      </c>
      <c r="E45" s="57" t="s">
        <v>379</v>
      </c>
    </row>
    <row r="46" ht="15.75" customHeight="1">
      <c r="A46" s="1"/>
      <c r="B46" s="1"/>
      <c r="C46" s="1"/>
      <c r="D46" s="1"/>
      <c r="E46" s="1"/>
    </row>
    <row r="47" ht="87.75" customHeight="1">
      <c r="A47" s="1"/>
      <c r="B47" s="47" t="s">
        <v>380</v>
      </c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>
      <c r="A56" s="1"/>
      <c r="B56" s="1"/>
      <c r="C56" s="1"/>
      <c r="D56" s="1"/>
      <c r="E56" s="1"/>
    </row>
    <row r="57" ht="15.75" customHeight="1">
      <c r="A57" s="1"/>
      <c r="B57" s="1"/>
      <c r="C57" s="1"/>
      <c r="D57" s="1"/>
      <c r="E57" s="1"/>
    </row>
    <row r="58" ht="15.75" customHeight="1">
      <c r="A58" s="1"/>
      <c r="B58" s="1"/>
      <c r="C58" s="1"/>
      <c r="D58" s="1"/>
      <c r="E58" s="1"/>
    </row>
    <row r="59" ht="15.75" customHeight="1">
      <c r="A59" s="1"/>
      <c r="B59" s="1"/>
      <c r="C59" s="1"/>
      <c r="D59" s="1"/>
      <c r="E59" s="1"/>
    </row>
    <row r="60" ht="15.75" customHeight="1">
      <c r="A60" s="1"/>
      <c r="B60" s="1"/>
      <c r="C60" s="1"/>
      <c r="D60" s="1"/>
      <c r="E60" s="1"/>
    </row>
    <row r="61" ht="15.75" customHeight="1">
      <c r="A61" s="1"/>
      <c r="B61" s="1"/>
      <c r="C61" s="1"/>
      <c r="D61" s="1"/>
      <c r="E61" s="1"/>
    </row>
    <row r="62" ht="15.75" customHeight="1">
      <c r="A62" s="1"/>
      <c r="B62" s="1"/>
      <c r="C62" s="1"/>
      <c r="D62" s="1"/>
      <c r="E62" s="1"/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3">
    <mergeCell ref="B2:E2"/>
    <mergeCell ref="B3:E3"/>
    <mergeCell ref="B47:E47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7.0" topLeftCell="D8" activePane="bottomRight" state="frozen"/>
      <selection activeCell="D1" sqref="D1" pane="topRight"/>
      <selection activeCell="A8" sqref="A8" pane="bottomLeft"/>
      <selection activeCell="D8" sqref="D8" pane="bottomRight"/>
    </sheetView>
  </sheetViews>
  <sheetFormatPr customHeight="1" defaultColWidth="14.43" defaultRowHeight="15.0"/>
  <cols>
    <col customWidth="1" min="1" max="1" width="2.0"/>
    <col customWidth="1" min="2" max="2" width="40.0"/>
    <col customWidth="1" min="3" max="8" width="12.0"/>
    <col customWidth="1" min="9" max="9" width="32.0"/>
    <col customWidth="1" min="10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 ht="24.0" customHeight="1">
      <c r="A2" s="1"/>
      <c r="B2" s="54" t="s">
        <v>381</v>
      </c>
      <c r="C2" s="3"/>
      <c r="D2" s="3"/>
      <c r="E2" s="3"/>
      <c r="F2" s="3"/>
      <c r="G2" s="3"/>
      <c r="H2" s="3"/>
      <c r="I2" s="4"/>
    </row>
    <row r="3" ht="25.5" customHeight="1">
      <c r="A3" s="1"/>
      <c r="B3" s="5" t="s">
        <v>382</v>
      </c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 ht="15.0" customHeight="1">
      <c r="A6" s="1"/>
      <c r="B6" s="16" t="s">
        <v>21</v>
      </c>
      <c r="C6" s="19" t="s">
        <v>383</v>
      </c>
      <c r="D6" s="19" t="s">
        <v>384</v>
      </c>
      <c r="E6" s="19" t="s">
        <v>385</v>
      </c>
      <c r="F6" s="19" t="s">
        <v>386</v>
      </c>
      <c r="G6" s="19" t="s">
        <v>387</v>
      </c>
      <c r="H6" s="19" t="s">
        <v>388</v>
      </c>
      <c r="I6" s="16" t="s">
        <v>389</v>
      </c>
    </row>
    <row r="7" ht="15.0" customHeight="1">
      <c r="A7" s="1"/>
      <c r="B7" s="55" t="s">
        <v>390</v>
      </c>
      <c r="C7" s="56"/>
      <c r="D7" s="56"/>
      <c r="E7" s="56"/>
      <c r="F7" s="56"/>
      <c r="G7" s="56"/>
      <c r="H7" s="56"/>
      <c r="I7" s="56"/>
    </row>
    <row r="8" ht="15.0" customHeight="1">
      <c r="A8" s="1"/>
      <c r="B8" s="9" t="s">
        <v>295</v>
      </c>
      <c r="C8" s="61">
        <f>DATOS!$K$78</f>
        <v>26.1</v>
      </c>
      <c r="D8" s="61">
        <f>C8*(1+DATOS!$K$79)</f>
        <v>30.015</v>
      </c>
      <c r="E8" s="61">
        <f>D8*(1+DATOS!$K$80)</f>
        <v>33.91695</v>
      </c>
      <c r="F8" s="61">
        <f>E8*(1+DATOS!$K$81)</f>
        <v>37.6478145</v>
      </c>
      <c r="G8" s="61">
        <f>F8*(1+DATOS!$K$82)</f>
        <v>41.03611781</v>
      </c>
      <c r="H8" s="61">
        <f>G8*(1+DATOS!$K$83)</f>
        <v>43.90864605</v>
      </c>
      <c r="I8" s="12" t="s">
        <v>391</v>
      </c>
    </row>
    <row r="9" ht="15.0" customHeight="1">
      <c r="A9" s="1"/>
      <c r="B9" s="23" t="s">
        <v>392</v>
      </c>
      <c r="C9" s="42"/>
      <c r="D9" s="36">
        <f t="shared" ref="D9:H9" si="1">D8/C8-1</f>
        <v>0.15</v>
      </c>
      <c r="E9" s="36">
        <f t="shared" si="1"/>
        <v>0.13</v>
      </c>
      <c r="F9" s="36">
        <f t="shared" si="1"/>
        <v>0.11</v>
      </c>
      <c r="G9" s="36">
        <f t="shared" si="1"/>
        <v>0.09</v>
      </c>
      <c r="H9" s="36">
        <f t="shared" si="1"/>
        <v>0.07</v>
      </c>
      <c r="I9" s="42"/>
    </row>
    <row r="10" ht="15.0" customHeight="1">
      <c r="A10" s="1"/>
      <c r="B10" s="23" t="s">
        <v>233</v>
      </c>
      <c r="C10" s="18" t="str">
        <f>DATOS!E15</f>
        <v/>
      </c>
      <c r="D10" s="41">
        <f>D8*(1-DATOS!$K$84)</f>
        <v>13.50675</v>
      </c>
      <c r="E10" s="41">
        <f>E8*(1-DATOS!$K$84)</f>
        <v>15.2626275</v>
      </c>
      <c r="F10" s="41">
        <f>F8*(1-DATOS!$K$84)</f>
        <v>16.94151653</v>
      </c>
      <c r="G10" s="41">
        <f>G8*(1-DATOS!$K$84)</f>
        <v>18.46625301</v>
      </c>
      <c r="H10" s="41">
        <f>H8*(1-DATOS!$K$84)</f>
        <v>19.75889072</v>
      </c>
      <c r="I10" s="12" t="s">
        <v>393</v>
      </c>
    </row>
    <row r="11" ht="15.0" customHeight="1">
      <c r="A11" s="1"/>
      <c r="B11" s="9" t="s">
        <v>394</v>
      </c>
      <c r="C11" s="61">
        <f t="shared" ref="C11:H11" si="2">C8-C10</f>
        <v>26.1</v>
      </c>
      <c r="D11" s="61">
        <f t="shared" si="2"/>
        <v>16.50825</v>
      </c>
      <c r="E11" s="61">
        <f t="shared" si="2"/>
        <v>18.6543225</v>
      </c>
      <c r="F11" s="61">
        <f t="shared" si="2"/>
        <v>20.70629798</v>
      </c>
      <c r="G11" s="61">
        <f t="shared" si="2"/>
        <v>22.56986479</v>
      </c>
      <c r="H11" s="61">
        <f t="shared" si="2"/>
        <v>24.14975533</v>
      </c>
      <c r="I11" s="42"/>
    </row>
    <row r="12" ht="15.0" customHeight="1">
      <c r="A12" s="1"/>
      <c r="B12" s="23" t="s">
        <v>395</v>
      </c>
      <c r="C12" s="42"/>
      <c r="D12" s="41">
        <f>D8*DATOS!$K$85</f>
        <v>7.2036</v>
      </c>
      <c r="E12" s="41">
        <f>E8*DATOS!$K$85</f>
        <v>8.140068</v>
      </c>
      <c r="F12" s="41">
        <f>F8*DATOS!$K$85</f>
        <v>9.03547548</v>
      </c>
      <c r="G12" s="41">
        <f>G8*DATOS!$K$85</f>
        <v>9.848668273</v>
      </c>
      <c r="H12" s="41">
        <f>H8*DATOS!$K$85</f>
        <v>10.53807505</v>
      </c>
      <c r="I12" s="12" t="s">
        <v>396</v>
      </c>
    </row>
    <row r="13" ht="15.0" customHeight="1">
      <c r="A13" s="1"/>
      <c r="B13" s="23" t="s">
        <v>397</v>
      </c>
      <c r="C13" s="42"/>
      <c r="D13" s="41">
        <f>D8*DATOS!$K$86</f>
        <v>0.750375</v>
      </c>
      <c r="E13" s="41">
        <f>E8*DATOS!$K$86</f>
        <v>0.84792375</v>
      </c>
      <c r="F13" s="41">
        <f>F8*DATOS!$K$86</f>
        <v>0.9411953625</v>
      </c>
      <c r="G13" s="41">
        <f>G8*DATOS!$K$86</f>
        <v>1.025902945</v>
      </c>
      <c r="H13" s="41">
        <f>H8*DATOS!$K$86</f>
        <v>1.097716151</v>
      </c>
      <c r="I13" s="12" t="s">
        <v>396</v>
      </c>
    </row>
    <row r="14" ht="15.0" customHeight="1">
      <c r="A14" s="1"/>
      <c r="B14" s="9" t="s">
        <v>398</v>
      </c>
      <c r="C14" s="61">
        <f>C11</f>
        <v>26.1</v>
      </c>
      <c r="D14" s="61">
        <f t="shared" ref="D14:H14" si="3">D11-D12-D13</f>
        <v>8.554275</v>
      </c>
      <c r="E14" s="61">
        <f t="shared" si="3"/>
        <v>9.66633075</v>
      </c>
      <c r="F14" s="61">
        <f t="shared" si="3"/>
        <v>10.72962713</v>
      </c>
      <c r="G14" s="61">
        <f t="shared" si="3"/>
        <v>11.69529357</v>
      </c>
      <c r="H14" s="61">
        <f t="shared" si="3"/>
        <v>12.51396412</v>
      </c>
      <c r="I14" s="42"/>
    </row>
    <row r="15" ht="18.75" customHeight="1">
      <c r="A15" s="1"/>
      <c r="B15" s="23" t="s">
        <v>399</v>
      </c>
      <c r="C15" s="42"/>
      <c r="D15" s="41">
        <f>C26*DATOS!$K$90</f>
        <v>2.7</v>
      </c>
      <c r="E15" s="41">
        <f>D26*DATOS!$K$90</f>
        <v>2.781</v>
      </c>
      <c r="F15" s="41">
        <f>E26*DATOS!$K$90</f>
        <v>2.86443</v>
      </c>
      <c r="G15" s="41">
        <f>F26*DATOS!$K$90</f>
        <v>2.9503629</v>
      </c>
      <c r="H15" s="41">
        <f>G26*DATOS!$K$90</f>
        <v>3.038873787</v>
      </c>
      <c r="I15" s="12" t="s">
        <v>400</v>
      </c>
    </row>
    <row r="16" ht="15.0" customHeight="1">
      <c r="A16" s="1"/>
      <c r="B16" s="23" t="s">
        <v>401</v>
      </c>
      <c r="C16" s="42"/>
      <c r="D16" s="41">
        <f>DATOS!$K$89</f>
        <v>3</v>
      </c>
      <c r="E16" s="41">
        <f>DATOS!$K$89</f>
        <v>3</v>
      </c>
      <c r="F16" s="41">
        <f>DATOS!$K$89</f>
        <v>3</v>
      </c>
      <c r="G16" s="41">
        <f>DATOS!$K$89</f>
        <v>3</v>
      </c>
      <c r="H16" s="41">
        <f>DATOS!$K$89</f>
        <v>3</v>
      </c>
      <c r="I16" s="12" t="s">
        <v>402</v>
      </c>
    </row>
    <row r="17" ht="15.0" customHeight="1">
      <c r="A17" s="1"/>
      <c r="B17" s="23" t="s">
        <v>403</v>
      </c>
      <c r="C17" s="42"/>
      <c r="D17" s="41">
        <f>C32*DATOS!$K$90</f>
        <v>0.4074</v>
      </c>
      <c r="E17" s="41">
        <f>D32*DATOS!$K$90</f>
        <v>0.518355</v>
      </c>
      <c r="F17" s="41">
        <f>E32*DATOS!$K$90</f>
        <v>0.56406615</v>
      </c>
      <c r="G17" s="41">
        <f>F32*DATOS!$K$90</f>
        <v>0.6139340265</v>
      </c>
      <c r="H17" s="41">
        <f>G32*DATOS!$K$90</f>
        <v>0.6696913149</v>
      </c>
      <c r="I17" s="12" t="s">
        <v>404</v>
      </c>
    </row>
    <row r="18" ht="15.0" customHeight="1">
      <c r="A18" s="1"/>
      <c r="B18" s="9" t="s">
        <v>140</v>
      </c>
      <c r="C18" s="42"/>
      <c r="D18" s="61">
        <f t="shared" ref="D18:H18" si="4">D14+D15+D16-D17</f>
        <v>13.846875</v>
      </c>
      <c r="E18" s="61">
        <f t="shared" si="4"/>
        <v>14.92897575</v>
      </c>
      <c r="F18" s="61">
        <f t="shared" si="4"/>
        <v>16.02999098</v>
      </c>
      <c r="G18" s="61">
        <f t="shared" si="4"/>
        <v>17.03172245</v>
      </c>
      <c r="H18" s="61">
        <f t="shared" si="4"/>
        <v>17.8831466</v>
      </c>
      <c r="I18" s="42"/>
    </row>
    <row r="19" ht="15.0" customHeight="1">
      <c r="A19" s="1"/>
      <c r="B19" s="23" t="s">
        <v>405</v>
      </c>
      <c r="C19" s="42"/>
      <c r="D19" s="41">
        <f>D18*DATOS!K66</f>
        <v>3.32325</v>
      </c>
      <c r="E19" s="41">
        <f>E18*DATOS!K66</f>
        <v>3.58295418</v>
      </c>
      <c r="F19" s="41">
        <f>F18*DATOS!K66</f>
        <v>3.847197836</v>
      </c>
      <c r="G19" s="41">
        <f>G18*DATOS!K66</f>
        <v>4.087613388</v>
      </c>
      <c r="H19" s="41">
        <f>H18*DATOS!K66</f>
        <v>4.291955183</v>
      </c>
      <c r="I19" s="12" t="s">
        <v>406</v>
      </c>
    </row>
    <row r="20" ht="15.0" customHeight="1">
      <c r="A20" s="1"/>
      <c r="B20" s="62" t="s">
        <v>145</v>
      </c>
      <c r="C20" s="42"/>
      <c r="D20" s="63">
        <f t="shared" ref="D20:H20" si="5">D18-D19</f>
        <v>10.523625</v>
      </c>
      <c r="E20" s="63">
        <f t="shared" si="5"/>
        <v>11.34602157</v>
      </c>
      <c r="F20" s="63">
        <f t="shared" si="5"/>
        <v>12.18279315</v>
      </c>
      <c r="G20" s="63">
        <f t="shared" si="5"/>
        <v>12.94410906</v>
      </c>
      <c r="H20" s="63">
        <f t="shared" si="5"/>
        <v>13.59119141</v>
      </c>
      <c r="I20" s="42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</row>
    <row r="22" ht="15.0" customHeight="1">
      <c r="A22" s="1"/>
      <c r="B22" s="55" t="s">
        <v>407</v>
      </c>
      <c r="C22" s="56"/>
      <c r="D22" s="56"/>
      <c r="E22" s="56"/>
      <c r="F22" s="56"/>
      <c r="G22" s="56"/>
      <c r="H22" s="56"/>
      <c r="I22" s="56"/>
    </row>
    <row r="23" ht="15.0" customHeight="1">
      <c r="A23" s="1"/>
      <c r="B23" s="23" t="s">
        <v>160</v>
      </c>
      <c r="C23" s="18">
        <f>DATOS!E30</f>
        <v>21.93</v>
      </c>
      <c r="D23" s="41">
        <f t="shared" ref="D23:H23" si="6">D49</f>
        <v>24.00375</v>
      </c>
      <c r="E23" s="41">
        <f t="shared" si="6"/>
        <v>25.82751282</v>
      </c>
      <c r="F23" s="41">
        <f t="shared" si="6"/>
        <v>27.47061375</v>
      </c>
      <c r="G23" s="41">
        <f t="shared" si="6"/>
        <v>28.96037525</v>
      </c>
      <c r="H23" s="41">
        <f t="shared" si="6"/>
        <v>30.33306259</v>
      </c>
      <c r="I23" s="12" t="s">
        <v>408</v>
      </c>
    </row>
    <row r="24" ht="15.0" customHeight="1">
      <c r="A24" s="1"/>
      <c r="B24" s="23" t="s">
        <v>67</v>
      </c>
      <c r="C24" s="18">
        <f>DATOS!E32</f>
        <v>1.33</v>
      </c>
      <c r="D24" s="41">
        <f>D8*(DATOS!E32/DATOS!E11)</f>
        <v>1.5295</v>
      </c>
      <c r="E24" s="41">
        <f>E8*(DATOS!E32/DATOS!E11)</f>
        <v>1.728335</v>
      </c>
      <c r="F24" s="41">
        <f>F8*(DATOS!E32/DATOS!E11)</f>
        <v>1.91845185</v>
      </c>
      <c r="G24" s="41">
        <f>G8*(DATOS!E32/DATOS!E11)</f>
        <v>2.091112517</v>
      </c>
      <c r="H24" s="41">
        <f>H8*(DATOS!E32/DATOS!E11)</f>
        <v>2.237490393</v>
      </c>
      <c r="I24" s="12" t="s">
        <v>409</v>
      </c>
    </row>
    <row r="25" ht="15.0" customHeight="1">
      <c r="A25" s="1"/>
      <c r="B25" s="23" t="s">
        <v>75</v>
      </c>
      <c r="C25" s="18">
        <f>DATOS!E33</f>
        <v>7.39</v>
      </c>
      <c r="D25" s="41">
        <f>D8*(DATOS!E33/DATOS!E11)</f>
        <v>8.4985</v>
      </c>
      <c r="E25" s="41">
        <f>E8*(DATOS!E33/DATOS!E11)</f>
        <v>9.603305</v>
      </c>
      <c r="F25" s="41">
        <f>F8*(DATOS!E33/DATOS!E11)</f>
        <v>10.65966855</v>
      </c>
      <c r="G25" s="41">
        <f>G8*(DATOS!E33/DATOS!E11)</f>
        <v>11.61903872</v>
      </c>
      <c r="H25" s="41">
        <f>H8*(DATOS!E33/DATOS!E11)</f>
        <v>12.43237143</v>
      </c>
      <c r="I25" s="12" t="s">
        <v>410</v>
      </c>
    </row>
    <row r="26" ht="18.75" customHeight="1">
      <c r="A26" s="1"/>
      <c r="B26" s="23" t="s">
        <v>56</v>
      </c>
      <c r="C26" s="18">
        <f>DATOS!E38</f>
        <v>45</v>
      </c>
      <c r="D26" s="41">
        <f t="shared" ref="D26:H26" si="7">C26*1.03</f>
        <v>46.35</v>
      </c>
      <c r="E26" s="41">
        <f t="shared" si="7"/>
        <v>47.7405</v>
      </c>
      <c r="F26" s="41">
        <f t="shared" si="7"/>
        <v>49.172715</v>
      </c>
      <c r="G26" s="41">
        <f t="shared" si="7"/>
        <v>50.64789645</v>
      </c>
      <c r="H26" s="41">
        <f t="shared" si="7"/>
        <v>52.16733334</v>
      </c>
      <c r="I26" s="12" t="s">
        <v>411</v>
      </c>
    </row>
    <row r="27" ht="15.0" customHeight="1">
      <c r="A27" s="1"/>
      <c r="B27" s="23" t="s">
        <v>107</v>
      </c>
      <c r="C27" s="18">
        <f>DATOS!E35</f>
        <v>67.52</v>
      </c>
      <c r="D27" s="41">
        <f>C27+D8*DATOS!$K$87*0.5-D13</f>
        <v>71.271875</v>
      </c>
      <c r="E27" s="41">
        <f>D27+E8*DATOS!$K$87*0.5-E13</f>
        <v>75.51149375</v>
      </c>
      <c r="F27" s="41">
        <f>E27+F8*DATOS!$K$87*0.5-F13</f>
        <v>80.21747056</v>
      </c>
      <c r="G27" s="41">
        <f>F27+G8*DATOS!$K$87*0.5-G13</f>
        <v>85.34698529</v>
      </c>
      <c r="H27" s="41">
        <f>G27+H8*DATOS!$K$87*0.5-H13</f>
        <v>90.83556604</v>
      </c>
      <c r="I27" s="12" t="s">
        <v>412</v>
      </c>
    </row>
    <row r="28" ht="15.0" customHeight="1">
      <c r="A28" s="1"/>
      <c r="B28" s="23" t="s">
        <v>413</v>
      </c>
      <c r="C28" s="18">
        <f>DATOS!E37</f>
        <v>5.24</v>
      </c>
      <c r="D28" s="41">
        <f>C28+D8*DATOS!$K$87*0.5</f>
        <v>9.74225</v>
      </c>
      <c r="E28" s="41">
        <f>D28+E8*DATOS!$K$87*0.5</f>
        <v>14.8297925</v>
      </c>
      <c r="F28" s="41">
        <f>E28+F8*DATOS!$K$87*0.5</f>
        <v>20.47696468</v>
      </c>
      <c r="G28" s="41">
        <f>F28+G8*DATOS!$K$87*0.5</f>
        <v>26.63238235</v>
      </c>
      <c r="H28" s="41">
        <f>G28+H8*DATOS!$K$87*0.5</f>
        <v>33.21867925</v>
      </c>
      <c r="I28" s="12" t="s">
        <v>414</v>
      </c>
    </row>
    <row r="29" ht="15.0" customHeight="1">
      <c r="A29" s="1"/>
      <c r="B29" s="23" t="s">
        <v>415</v>
      </c>
      <c r="C29" s="18">
        <f>DATOS!E39-DATOS!E30-DATOS!E32-DATOS!E33-DATOS!E38-DATOS!E35-DATOS!E37</f>
        <v>13.87</v>
      </c>
      <c r="D29" s="41">
        <f t="shared" ref="D29:H29" si="8">C29</f>
        <v>13.87</v>
      </c>
      <c r="E29" s="41">
        <f t="shared" si="8"/>
        <v>13.87</v>
      </c>
      <c r="F29" s="41">
        <f t="shared" si="8"/>
        <v>13.87</v>
      </c>
      <c r="G29" s="41">
        <f t="shared" si="8"/>
        <v>13.87</v>
      </c>
      <c r="H29" s="41">
        <f t="shared" si="8"/>
        <v>13.87</v>
      </c>
      <c r="I29" s="12" t="s">
        <v>416</v>
      </c>
    </row>
    <row r="30" ht="15.0" customHeight="1">
      <c r="A30" s="1"/>
      <c r="B30" s="9" t="s">
        <v>141</v>
      </c>
      <c r="C30" s="61">
        <f t="shared" ref="C30:H30" si="9">C23+C24+C25+C26+C27+C28+C29</f>
        <v>162.28</v>
      </c>
      <c r="D30" s="61">
        <f t="shared" si="9"/>
        <v>175.265875</v>
      </c>
      <c r="E30" s="61">
        <f t="shared" si="9"/>
        <v>189.1109391</v>
      </c>
      <c r="F30" s="61">
        <f t="shared" si="9"/>
        <v>203.7858844</v>
      </c>
      <c r="G30" s="61">
        <f t="shared" si="9"/>
        <v>219.1677906</v>
      </c>
      <c r="H30" s="61">
        <f t="shared" si="9"/>
        <v>235.0945031</v>
      </c>
      <c r="I30" s="42"/>
    </row>
    <row r="31" ht="15.0" customHeight="1">
      <c r="A31" s="1"/>
      <c r="B31" s="23" t="s">
        <v>417</v>
      </c>
      <c r="C31" s="18">
        <f>DATOS!E43</f>
        <v>11.62</v>
      </c>
      <c r="D31" s="41">
        <f>D8*(DATOS!E43/DATOS!E11)</f>
        <v>13.363</v>
      </c>
      <c r="E31" s="41">
        <f>E8*(DATOS!E43/DATOS!E11)</f>
        <v>15.10019</v>
      </c>
      <c r="F31" s="41">
        <f>F8*(DATOS!E43/DATOS!E11)</f>
        <v>16.7612109</v>
      </c>
      <c r="G31" s="41">
        <f>G8*(DATOS!E43/DATOS!E11)</f>
        <v>18.26971988</v>
      </c>
      <c r="H31" s="41">
        <f>H8*(DATOS!E43/DATOS!E11)</f>
        <v>19.54860027</v>
      </c>
      <c r="I31" s="12" t="s">
        <v>418</v>
      </c>
    </row>
    <row r="32" ht="18.75" customHeight="1">
      <c r="A32" s="1"/>
      <c r="B32" s="23" t="s">
        <v>194</v>
      </c>
      <c r="C32" s="18">
        <f>DATOS!E45</f>
        <v>6.79</v>
      </c>
      <c r="D32" s="41">
        <f t="shared" ref="D32:H32" si="10">D30-D31-D34</f>
        <v>8.63925</v>
      </c>
      <c r="E32" s="41">
        <f t="shared" si="10"/>
        <v>9.4011025</v>
      </c>
      <c r="F32" s="41">
        <f t="shared" si="10"/>
        <v>10.23223378</v>
      </c>
      <c r="G32" s="41">
        <f t="shared" si="10"/>
        <v>11.16152191</v>
      </c>
      <c r="H32" s="41">
        <f t="shared" si="10"/>
        <v>12.21816259</v>
      </c>
      <c r="I32" s="12" t="s">
        <v>419</v>
      </c>
    </row>
    <row r="33" ht="15.0" customHeight="1">
      <c r="A33" s="1"/>
      <c r="B33" s="9" t="s">
        <v>167</v>
      </c>
      <c r="C33" s="61">
        <f t="shared" ref="C33:H33" si="11">C31+C32</f>
        <v>18.41</v>
      </c>
      <c r="D33" s="61">
        <f t="shared" si="11"/>
        <v>22.00225</v>
      </c>
      <c r="E33" s="61">
        <f t="shared" si="11"/>
        <v>24.5012925</v>
      </c>
      <c r="F33" s="61">
        <f t="shared" si="11"/>
        <v>26.99344468</v>
      </c>
      <c r="G33" s="61">
        <f t="shared" si="11"/>
        <v>29.4312418</v>
      </c>
      <c r="H33" s="61">
        <f t="shared" si="11"/>
        <v>31.76676286</v>
      </c>
      <c r="I33" s="42"/>
    </row>
    <row r="34" ht="15.0" customHeight="1">
      <c r="A34" s="1"/>
      <c r="B34" s="9" t="s">
        <v>420</v>
      </c>
      <c r="C34" s="18">
        <f>DATOS!E47</f>
        <v>142.74</v>
      </c>
      <c r="D34" s="41">
        <f>C34+D20-D20*DATOS!$K$91</f>
        <v>153.263625</v>
      </c>
      <c r="E34" s="41">
        <f>D34+E20-E20*DATOS!$K$91</f>
        <v>164.6096466</v>
      </c>
      <c r="F34" s="41">
        <f>E34+F20-F20*DATOS!$K$91</f>
        <v>176.7924397</v>
      </c>
      <c r="G34" s="41">
        <f>F34+G20-G20*DATOS!$K$91</f>
        <v>189.7365488</v>
      </c>
      <c r="H34" s="41">
        <f>G34+H20-H20*DATOS!$K$91</f>
        <v>203.3277402</v>
      </c>
      <c r="I34" s="12" t="s">
        <v>421</v>
      </c>
    </row>
    <row r="35" ht="15.0" customHeight="1">
      <c r="A35" s="1"/>
      <c r="B35" s="9" t="s">
        <v>422</v>
      </c>
      <c r="C35" s="61">
        <f t="shared" ref="C35:H35" si="12">C33+C34</f>
        <v>161.15</v>
      </c>
      <c r="D35" s="61">
        <f t="shared" si="12"/>
        <v>175.265875</v>
      </c>
      <c r="E35" s="61">
        <f t="shared" si="12"/>
        <v>189.1109391</v>
      </c>
      <c r="F35" s="61">
        <f t="shared" si="12"/>
        <v>203.7858844</v>
      </c>
      <c r="G35" s="61">
        <f t="shared" si="12"/>
        <v>219.1677906</v>
      </c>
      <c r="H35" s="61">
        <f t="shared" si="12"/>
        <v>235.0945031</v>
      </c>
      <c r="I35" s="42"/>
    </row>
    <row r="36" ht="15.0" customHeight="1">
      <c r="A36" s="1"/>
      <c r="B36" s="64" t="s">
        <v>423</v>
      </c>
      <c r="C36" s="65">
        <f t="shared" ref="C36:H36" si="13">C30-C35</f>
        <v>1.13</v>
      </c>
      <c r="D36" s="65">
        <f t="shared" si="13"/>
        <v>0</v>
      </c>
      <c r="E36" s="65">
        <f t="shared" si="13"/>
        <v>0</v>
      </c>
      <c r="F36" s="65">
        <f t="shared" si="13"/>
        <v>0</v>
      </c>
      <c r="G36" s="65">
        <f t="shared" si="13"/>
        <v>0</v>
      </c>
      <c r="H36" s="65">
        <f t="shared" si="13"/>
        <v>0</v>
      </c>
      <c r="I36" s="12" t="s">
        <v>424</v>
      </c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0" customHeight="1">
      <c r="A38" s="1"/>
      <c r="B38" s="55" t="s">
        <v>425</v>
      </c>
      <c r="C38" s="56"/>
      <c r="D38" s="56"/>
      <c r="E38" s="56"/>
      <c r="F38" s="56"/>
      <c r="G38" s="56"/>
      <c r="H38" s="56"/>
      <c r="I38" s="56"/>
    </row>
    <row r="39" ht="15.0" customHeight="1">
      <c r="A39" s="1"/>
      <c r="B39" s="23" t="s">
        <v>297</v>
      </c>
      <c r="C39" s="42"/>
      <c r="D39" s="41">
        <f t="shared" ref="D39:H39" si="14">D20</f>
        <v>10.523625</v>
      </c>
      <c r="E39" s="41">
        <f t="shared" si="14"/>
        <v>11.34602157</v>
      </c>
      <c r="F39" s="41">
        <f t="shared" si="14"/>
        <v>12.18279315</v>
      </c>
      <c r="G39" s="41">
        <f t="shared" si="14"/>
        <v>12.94410906</v>
      </c>
      <c r="H39" s="41">
        <f t="shared" si="14"/>
        <v>13.59119141</v>
      </c>
      <c r="I39" s="12" t="s">
        <v>426</v>
      </c>
    </row>
    <row r="40" ht="15.0" customHeight="1">
      <c r="A40" s="1"/>
      <c r="B40" s="23" t="s">
        <v>427</v>
      </c>
      <c r="C40" s="42"/>
      <c r="D40" s="41">
        <f t="shared" ref="D40:H40" si="15">D13</f>
        <v>0.750375</v>
      </c>
      <c r="E40" s="41">
        <f t="shared" si="15"/>
        <v>0.84792375</v>
      </c>
      <c r="F40" s="41">
        <f t="shared" si="15"/>
        <v>0.9411953625</v>
      </c>
      <c r="G40" s="41">
        <f t="shared" si="15"/>
        <v>1.025902945</v>
      </c>
      <c r="H40" s="41">
        <f t="shared" si="15"/>
        <v>1.097716151</v>
      </c>
      <c r="I40" s="12" t="s">
        <v>428</v>
      </c>
    </row>
    <row r="41" ht="15.0" customHeight="1">
      <c r="A41" s="1"/>
      <c r="B41" s="23" t="s">
        <v>429</v>
      </c>
      <c r="C41" s="42"/>
      <c r="D41" s="41">
        <f>-(D8-C8)*DATOS!$K$88</f>
        <v>-0.19575</v>
      </c>
      <c r="E41" s="41">
        <f>-(E8-D8)*DATOS!$K$88</f>
        <v>-0.1950975</v>
      </c>
      <c r="F41" s="41">
        <f>-(F8-E8)*DATOS!$K$88</f>
        <v>-0.186543225</v>
      </c>
      <c r="G41" s="41">
        <f>-(G8-F8)*DATOS!$K$88</f>
        <v>-0.1694151653</v>
      </c>
      <c r="H41" s="41">
        <f>-(H8-G8)*DATOS!$K$88</f>
        <v>-0.1436264123</v>
      </c>
      <c r="I41" s="12" t="s">
        <v>430</v>
      </c>
    </row>
    <row r="42" ht="15.0" customHeight="1">
      <c r="A42" s="1"/>
      <c r="B42" s="9" t="s">
        <v>203</v>
      </c>
      <c r="C42" s="42"/>
      <c r="D42" s="61">
        <f t="shared" ref="D42:H42" si="16">D39+D40+D41</f>
        <v>11.07825</v>
      </c>
      <c r="E42" s="61">
        <f t="shared" si="16"/>
        <v>11.99884782</v>
      </c>
      <c r="F42" s="61">
        <f t="shared" si="16"/>
        <v>12.93744528</v>
      </c>
      <c r="G42" s="61">
        <f t="shared" si="16"/>
        <v>13.80059684</v>
      </c>
      <c r="H42" s="61">
        <f t="shared" si="16"/>
        <v>14.54528115</v>
      </c>
      <c r="I42" s="42"/>
    </row>
    <row r="43" ht="15.0" customHeight="1">
      <c r="A43" s="1"/>
      <c r="B43" s="23" t="s">
        <v>431</v>
      </c>
      <c r="C43" s="42"/>
      <c r="D43" s="41">
        <f>-D8*DATOS!$K$87</f>
        <v>-9.0045</v>
      </c>
      <c r="E43" s="41">
        <f>-E8*DATOS!$K$87</f>
        <v>-10.175085</v>
      </c>
      <c r="F43" s="41">
        <f>-F8*DATOS!$K$87</f>
        <v>-11.29434435</v>
      </c>
      <c r="G43" s="41">
        <f>-G8*DATOS!$K$87</f>
        <v>-12.31083534</v>
      </c>
      <c r="H43" s="41">
        <f>-H8*DATOS!$K$87</f>
        <v>-13.17259382</v>
      </c>
      <c r="I43" s="12" t="s">
        <v>396</v>
      </c>
    </row>
    <row r="44" ht="15.0" customHeight="1">
      <c r="A44" s="1"/>
      <c r="B44" s="62" t="s">
        <v>432</v>
      </c>
      <c r="C44" s="42"/>
      <c r="D44" s="63">
        <f t="shared" ref="D44:H44" si="17">D42+D43</f>
        <v>2.07375</v>
      </c>
      <c r="E44" s="63">
        <f t="shared" si="17"/>
        <v>1.82376282</v>
      </c>
      <c r="F44" s="63">
        <f t="shared" si="17"/>
        <v>1.643100934</v>
      </c>
      <c r="G44" s="63">
        <f t="shared" si="17"/>
        <v>1.489761499</v>
      </c>
      <c r="H44" s="63">
        <f t="shared" si="17"/>
        <v>1.372687337</v>
      </c>
      <c r="I44" s="12" t="s">
        <v>433</v>
      </c>
    </row>
    <row r="45" ht="15.0" customHeight="1">
      <c r="A45" s="1"/>
      <c r="B45" s="23" t="s">
        <v>434</v>
      </c>
      <c r="C45" s="42"/>
      <c r="D45" s="41">
        <f t="shared" ref="D45:H45" si="18">MAX(0,-(D44))</f>
        <v>0</v>
      </c>
      <c r="E45" s="41">
        <f t="shared" si="18"/>
        <v>0</v>
      </c>
      <c r="F45" s="41">
        <f t="shared" si="18"/>
        <v>0</v>
      </c>
      <c r="G45" s="41">
        <f t="shared" si="18"/>
        <v>0</v>
      </c>
      <c r="H45" s="41">
        <f t="shared" si="18"/>
        <v>0</v>
      </c>
      <c r="I45" s="12" t="s">
        <v>435</v>
      </c>
    </row>
    <row r="46" ht="15.0" customHeight="1">
      <c r="A46" s="1"/>
      <c r="B46" s="23" t="s">
        <v>436</v>
      </c>
      <c r="C46" s="42"/>
      <c r="D46" s="41">
        <f>-D20*DATOS!$K$91</f>
        <v>0</v>
      </c>
      <c r="E46" s="41">
        <f>-E20*DATOS!$K$91</f>
        <v>0</v>
      </c>
      <c r="F46" s="41">
        <f>-F20*DATOS!$K$91</f>
        <v>0</v>
      </c>
      <c r="G46" s="41">
        <f>-G20*DATOS!$K$91</f>
        <v>0</v>
      </c>
      <c r="H46" s="41">
        <f>-H20*DATOS!$K$91</f>
        <v>0</v>
      </c>
      <c r="I46" s="12" t="s">
        <v>437</v>
      </c>
    </row>
    <row r="47" ht="15.0" customHeight="1">
      <c r="A47" s="1"/>
      <c r="B47" s="9" t="s">
        <v>438</v>
      </c>
      <c r="C47" s="42"/>
      <c r="D47" s="61">
        <f t="shared" ref="D47:H47" si="19">D44+D45+D46</f>
        <v>2.07375</v>
      </c>
      <c r="E47" s="61">
        <f t="shared" si="19"/>
        <v>1.82376282</v>
      </c>
      <c r="F47" s="61">
        <f t="shared" si="19"/>
        <v>1.643100934</v>
      </c>
      <c r="G47" s="61">
        <f t="shared" si="19"/>
        <v>1.489761499</v>
      </c>
      <c r="H47" s="61">
        <f t="shared" si="19"/>
        <v>1.372687337</v>
      </c>
      <c r="I47" s="42"/>
    </row>
    <row r="48" ht="15.0" customHeight="1">
      <c r="A48" s="1"/>
      <c r="B48" s="23" t="s">
        <v>439</v>
      </c>
      <c r="C48" s="42"/>
      <c r="D48" s="41">
        <f>DATOS!E30</f>
        <v>21.93</v>
      </c>
      <c r="E48" s="41">
        <f t="shared" ref="E48:H48" si="20">D49</f>
        <v>24.00375</v>
      </c>
      <c r="F48" s="41">
        <f t="shared" si="20"/>
        <v>25.82751282</v>
      </c>
      <c r="G48" s="41">
        <f t="shared" si="20"/>
        <v>27.47061375</v>
      </c>
      <c r="H48" s="41">
        <f t="shared" si="20"/>
        <v>28.96037525</v>
      </c>
      <c r="I48" s="12" t="s">
        <v>440</v>
      </c>
    </row>
    <row r="49" ht="15.0" customHeight="1">
      <c r="A49" s="1"/>
      <c r="B49" s="62" t="s">
        <v>441</v>
      </c>
      <c r="C49" s="42"/>
      <c r="D49" s="63">
        <f t="shared" ref="D49:H49" si="21">D48+D47</f>
        <v>24.00375</v>
      </c>
      <c r="E49" s="63">
        <f t="shared" si="21"/>
        <v>25.82751282</v>
      </c>
      <c r="F49" s="63">
        <f t="shared" si="21"/>
        <v>27.47061375</v>
      </c>
      <c r="G49" s="63">
        <f t="shared" si="21"/>
        <v>28.96037525</v>
      </c>
      <c r="H49" s="63">
        <f t="shared" si="21"/>
        <v>30.33306259</v>
      </c>
      <c r="I49" s="12" t="s">
        <v>442</v>
      </c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51.75" customHeight="1">
      <c r="A51" s="1"/>
      <c r="B51" s="47" t="s">
        <v>443</v>
      </c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3">
    <mergeCell ref="B2:I2"/>
    <mergeCell ref="B3:I3"/>
    <mergeCell ref="B51:I5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40.0"/>
    <col customWidth="1" min="3" max="3" width="15.0"/>
    <col customWidth="1" min="4" max="4" width="13.0"/>
    <col customWidth="1" min="5" max="5" width="46.0"/>
    <col customWidth="1" min="6" max="26" width="8.71"/>
  </cols>
  <sheetData>
    <row r="1">
      <c r="A1" s="1"/>
      <c r="B1" s="1"/>
      <c r="C1" s="1"/>
      <c r="D1" s="1"/>
      <c r="E1" s="1"/>
    </row>
    <row r="2" ht="24.0" customHeight="1">
      <c r="A2" s="1"/>
      <c r="B2" s="7" t="s">
        <v>444</v>
      </c>
      <c r="C2" s="3"/>
      <c r="D2" s="3"/>
      <c r="E2" s="4"/>
    </row>
    <row r="3" ht="15.0" customHeight="1">
      <c r="A3" s="1"/>
      <c r="B3" s="5" t="s">
        <v>445</v>
      </c>
    </row>
    <row r="4">
      <c r="A4" s="1"/>
      <c r="B4" s="1"/>
      <c r="C4" s="1"/>
      <c r="D4" s="1"/>
      <c r="E4" s="1"/>
    </row>
    <row r="5" ht="15.0" customHeight="1">
      <c r="A5" s="1"/>
      <c r="B5" s="55" t="s">
        <v>446</v>
      </c>
      <c r="C5" s="56"/>
      <c r="D5" s="56"/>
      <c r="E5" s="56"/>
    </row>
    <row r="6" ht="15.0" customHeight="1">
      <c r="A6" s="1"/>
      <c r="B6" s="23" t="s">
        <v>447</v>
      </c>
      <c r="C6" s="66">
        <f>DATOS!K63</f>
        <v>0.043</v>
      </c>
      <c r="D6" s="42"/>
      <c r="E6" s="12" t="s">
        <v>448</v>
      </c>
    </row>
    <row r="7" ht="15.0" customHeight="1">
      <c r="A7" s="1"/>
      <c r="B7" s="23" t="s">
        <v>449</v>
      </c>
      <c r="C7" s="66">
        <f>DATOS!K64</f>
        <v>0.055</v>
      </c>
      <c r="D7" s="42"/>
      <c r="E7" s="12" t="s">
        <v>448</v>
      </c>
    </row>
    <row r="8" ht="15.0" customHeight="1">
      <c r="A8" s="1"/>
      <c r="B8" s="23" t="s">
        <v>450</v>
      </c>
      <c r="C8" s="67">
        <f>DATOS!K65</f>
        <v>0.75</v>
      </c>
      <c r="D8" s="42"/>
      <c r="E8" s="12" t="s">
        <v>451</v>
      </c>
    </row>
    <row r="9" ht="15.0" customHeight="1">
      <c r="A9" s="1"/>
      <c r="B9" s="23" t="s">
        <v>452</v>
      </c>
      <c r="C9" s="41">
        <f>DATOS!I55*DATOS!I28</f>
        <v>241</v>
      </c>
      <c r="D9" s="42"/>
      <c r="E9" s="12" t="s">
        <v>453</v>
      </c>
    </row>
    <row r="10" ht="15.0" customHeight="1">
      <c r="A10" s="1"/>
      <c r="B10" s="23" t="s">
        <v>454</v>
      </c>
      <c r="C10" s="18">
        <f>DATOS!G45</f>
        <v>14.12</v>
      </c>
      <c r="D10" s="42"/>
      <c r="E10" s="12" t="s">
        <v>455</v>
      </c>
    </row>
    <row r="11" ht="15.0" customHeight="1">
      <c r="A11" s="1"/>
      <c r="B11" s="23" t="s">
        <v>456</v>
      </c>
      <c r="C11" s="36">
        <f>C10/(C10+C9)</f>
        <v>0.05534650361</v>
      </c>
      <c r="D11" s="42"/>
      <c r="E11" s="12"/>
    </row>
    <row r="12" ht="15.0" customHeight="1">
      <c r="A12" s="1"/>
      <c r="B12" s="23" t="s">
        <v>458</v>
      </c>
      <c r="C12" s="36">
        <f>C9/(C10+C9)</f>
        <v>0.9446534964</v>
      </c>
      <c r="D12" s="42"/>
      <c r="E12" s="12"/>
    </row>
    <row r="13" ht="15.0" customHeight="1">
      <c r="A13" s="1"/>
      <c r="B13" s="23" t="s">
        <v>460</v>
      </c>
      <c r="C13" s="24">
        <f>DATOS!K66</f>
        <v>0.24</v>
      </c>
      <c r="D13" s="42"/>
      <c r="E13" s="12"/>
    </row>
    <row r="14" ht="15.0" customHeight="1">
      <c r="A14" s="1"/>
      <c r="B14" s="23" t="s">
        <v>462</v>
      </c>
      <c r="C14" s="70">
        <f>C8*(1+(1-C13)*C10/C9)</f>
        <v>0.7833958506</v>
      </c>
      <c r="D14" s="42"/>
      <c r="E14" s="12" t="s">
        <v>463</v>
      </c>
    </row>
    <row r="15" ht="15.0" customHeight="1">
      <c r="A15" s="1"/>
      <c r="B15" s="23" t="s">
        <v>464</v>
      </c>
      <c r="C15" s="71">
        <f>C6+C14*C7</f>
        <v>0.08608677178</v>
      </c>
      <c r="D15" s="42"/>
      <c r="E15" s="12" t="s">
        <v>465</v>
      </c>
    </row>
    <row r="16" ht="15.0" customHeight="1">
      <c r="A16" s="1"/>
      <c r="B16" s="23" t="s">
        <v>466</v>
      </c>
      <c r="C16" s="66">
        <f>DATOS!K67</f>
        <v>0.06</v>
      </c>
      <c r="D16" s="42"/>
      <c r="E16" s="12"/>
    </row>
    <row r="17" ht="15.0" customHeight="1">
      <c r="A17" s="1"/>
      <c r="B17" s="9" t="s">
        <v>467</v>
      </c>
      <c r="C17" s="72">
        <f>C12*C15+C11*C16*(1-C13)</f>
        <v>0.08384597052</v>
      </c>
      <c r="D17" s="42"/>
      <c r="E17" s="12" t="s">
        <v>468</v>
      </c>
    </row>
    <row r="18">
      <c r="A18" s="1"/>
      <c r="B18" s="1"/>
      <c r="C18" s="1"/>
      <c r="D18" s="1"/>
      <c r="E18" s="1"/>
    </row>
    <row r="19" ht="23.25" customHeight="1">
      <c r="A19" s="1"/>
      <c r="B19" s="55" t="s">
        <v>469</v>
      </c>
      <c r="C19" s="56"/>
      <c r="D19" s="56"/>
      <c r="E19" s="56"/>
    </row>
    <row r="20" ht="15.0" customHeight="1">
      <c r="A20" s="1"/>
      <c r="B20" s="23" t="s">
        <v>470</v>
      </c>
      <c r="C20" s="41">
        <f>DATOS!I19*4/3</f>
        <v>9.013333333</v>
      </c>
      <c r="D20" s="42"/>
      <c r="E20" s="12" t="s">
        <v>471</v>
      </c>
    </row>
    <row r="21" ht="15.0" customHeight="1">
      <c r="A21" s="1"/>
      <c r="B21" s="9" t="s">
        <v>472</v>
      </c>
      <c r="C21" s="41">
        <f>C20*(1-C13)</f>
        <v>6.850133333</v>
      </c>
      <c r="D21" s="42"/>
      <c r="E21" s="12" t="s">
        <v>473</v>
      </c>
    </row>
    <row r="22" ht="15.0" customHeight="1">
      <c r="A22" s="1"/>
      <c r="B22" s="9" t="s">
        <v>474</v>
      </c>
      <c r="C22" s="41">
        <f>DATOS!G47+DATOS!G45-DATOS!G30</f>
        <v>157.26</v>
      </c>
      <c r="D22" s="42"/>
      <c r="E22" s="12" t="s">
        <v>475</v>
      </c>
    </row>
    <row r="23" ht="18.75" customHeight="1">
      <c r="A23" s="1"/>
      <c r="B23" s="9" t="s">
        <v>476</v>
      </c>
      <c r="C23" s="73">
        <f>C21/C22</f>
        <v>0.04355928611</v>
      </c>
      <c r="D23" s="42"/>
      <c r="E23" s="12" t="s">
        <v>477</v>
      </c>
    </row>
    <row r="24" ht="18.75" customHeight="1">
      <c r="A24" s="1"/>
      <c r="B24" s="9" t="s">
        <v>478</v>
      </c>
      <c r="C24" s="74">
        <f>C23-C17</f>
        <v>-0.04028668442</v>
      </c>
      <c r="D24" s="42"/>
      <c r="E24" s="12" t="s">
        <v>479</v>
      </c>
    </row>
    <row r="25" ht="15.0" customHeight="1">
      <c r="A25" s="1"/>
      <c r="B25" s="55" t="s">
        <v>480</v>
      </c>
      <c r="C25" s="56"/>
      <c r="D25" s="56"/>
      <c r="E25" s="56"/>
    </row>
    <row r="26" ht="15.0" customHeight="1">
      <c r="A26" s="1"/>
      <c r="B26" s="60" t="s">
        <v>481</v>
      </c>
      <c r="C26" s="75" t="s">
        <v>482</v>
      </c>
      <c r="D26" s="60" t="s">
        <v>483</v>
      </c>
      <c r="E26" s="76" t="s">
        <v>484</v>
      </c>
    </row>
    <row r="27" ht="18.75" customHeight="1">
      <c r="A27" s="1"/>
      <c r="B27" s="77">
        <v>1.0</v>
      </c>
      <c r="C27" s="18">
        <f>Proyecciones!D44</f>
        <v>2.07375</v>
      </c>
      <c r="D27" s="41">
        <f>C27/(1+C17)^1</f>
        <v>1.913325377</v>
      </c>
      <c r="E27" s="12"/>
    </row>
    <row r="28" ht="15.0" customHeight="1">
      <c r="A28" s="1"/>
      <c r="B28" s="77">
        <v>2.0</v>
      </c>
      <c r="C28" s="18">
        <f>Proyecciones!E44</f>
        <v>1.82376282</v>
      </c>
      <c r="D28" s="41">
        <f>C28/(1+C17)^2</f>
        <v>1.55250577</v>
      </c>
      <c r="E28" s="12"/>
    </row>
    <row r="29" ht="15.0" customHeight="1">
      <c r="A29" s="1"/>
      <c r="B29" s="77">
        <v>3.0</v>
      </c>
      <c r="C29" s="18">
        <f>Proyecciones!F44</f>
        <v>1.643100934</v>
      </c>
      <c r="D29" s="41">
        <f>C29/(1+C17)^3</f>
        <v>1.290510494</v>
      </c>
      <c r="E29" s="42"/>
    </row>
    <row r="30" ht="15.0" customHeight="1">
      <c r="A30" s="1"/>
      <c r="B30" s="77">
        <v>4.0</v>
      </c>
      <c r="C30" s="18">
        <f>Proyecciones!G44</f>
        <v>1.489761499</v>
      </c>
      <c r="D30" s="41">
        <f>C30/(1+C17)^4</f>
        <v>1.079559235</v>
      </c>
      <c r="E30" s="42"/>
    </row>
    <row r="31" ht="15.0" customHeight="1">
      <c r="A31" s="1"/>
      <c r="B31" s="77">
        <v>5.0</v>
      </c>
      <c r="C31" s="18">
        <f>Proyecciones!H44</f>
        <v>1.372687337</v>
      </c>
      <c r="D31" s="41">
        <f>C31/(1+C17)^5</f>
        <v>0.9177698589</v>
      </c>
      <c r="E31" s="42"/>
    </row>
    <row r="32" ht="15.0" customHeight="1">
      <c r="A32" s="1"/>
      <c r="B32" s="23" t="s">
        <v>485</v>
      </c>
      <c r="C32" s="41">
        <f>(Proyecciones!H14*(1-DATOS!K66)*(1+DATOS!K68))/(C17-DATOS!K68)</f>
        <v>181.9250544</v>
      </c>
      <c r="D32" s="41">
        <f>C32/(1+C17)^5</f>
        <v>121.6339125</v>
      </c>
      <c r="E32" s="12" t="s">
        <v>486</v>
      </c>
    </row>
    <row r="33" ht="15.0" customHeight="1">
      <c r="A33" s="1"/>
      <c r="B33" s="9" t="s">
        <v>487</v>
      </c>
      <c r="C33" s="61">
        <f>SUM(D27:D31)+D32</f>
        <v>128.3875833</v>
      </c>
      <c r="D33" s="78"/>
      <c r="E33" s="1"/>
    </row>
    <row r="34" ht="15.0" customHeight="1">
      <c r="A34" s="1"/>
      <c r="B34" s="23" t="s">
        <v>488</v>
      </c>
      <c r="C34" s="18">
        <f>DATOS!G30+DATOS!G38-DATOS!G45</f>
        <v>53.38</v>
      </c>
      <c r="D34" s="78"/>
      <c r="E34" s="12" t="s">
        <v>489</v>
      </c>
    </row>
    <row r="35" ht="15.0" customHeight="1">
      <c r="A35" s="1"/>
      <c r="B35" s="9" t="s">
        <v>490</v>
      </c>
      <c r="C35" s="61">
        <f>C33+C34</f>
        <v>181.7675833</v>
      </c>
      <c r="D35" s="78"/>
      <c r="E35" s="1"/>
    </row>
    <row r="36" ht="15.0" customHeight="1">
      <c r="A36" s="1"/>
      <c r="B36" s="9" t="s">
        <v>491</v>
      </c>
      <c r="C36" s="79">
        <f>C35/DATOS!I28</f>
        <v>7.542223373</v>
      </c>
      <c r="D36" s="78"/>
      <c r="E36" s="1"/>
    </row>
    <row r="37" ht="15.0" customHeight="1">
      <c r="A37" s="1"/>
      <c r="B37" s="80"/>
      <c r="C37" s="78"/>
      <c r="D37" s="78"/>
      <c r="E37" s="1"/>
    </row>
    <row r="38" ht="15.0" customHeight="1">
      <c r="A38" s="1"/>
      <c r="B38" s="80"/>
      <c r="C38" s="78"/>
      <c r="D38" s="78"/>
      <c r="E38" s="1"/>
    </row>
    <row r="39" ht="15.0" customHeight="1">
      <c r="A39" s="1"/>
      <c r="B39" s="80"/>
      <c r="C39" s="78"/>
      <c r="D39" s="78"/>
      <c r="E39" s="1"/>
    </row>
    <row r="40" ht="15.0" customHeight="1">
      <c r="A40" s="1"/>
      <c r="B40" s="80"/>
      <c r="C40" s="78"/>
      <c r="D40" s="78"/>
      <c r="E40" s="1"/>
    </row>
    <row r="41" ht="15.0" customHeight="1">
      <c r="A41" s="1"/>
      <c r="B41" s="81"/>
      <c r="C41" s="78"/>
      <c r="D41" s="78"/>
      <c r="E41" s="1"/>
    </row>
    <row r="42" ht="15.0" customHeight="1">
      <c r="A42" s="1"/>
      <c r="B42" s="82"/>
      <c r="C42" s="83"/>
      <c r="D42" s="1"/>
      <c r="E42" s="1"/>
    </row>
    <row r="43" ht="15.0" customHeight="1">
      <c r="A43" s="1"/>
      <c r="B43" s="81"/>
      <c r="C43" s="84"/>
      <c r="D43" s="1"/>
      <c r="E43" s="5"/>
    </row>
    <row r="44" ht="15.0" customHeight="1">
      <c r="A44" s="1"/>
      <c r="B44" s="82"/>
      <c r="C44" s="83"/>
      <c r="D44" s="1"/>
      <c r="E44" s="1"/>
    </row>
    <row r="45" ht="15.0" customHeight="1">
      <c r="A45" s="1"/>
      <c r="B45" s="82"/>
      <c r="C45" s="85"/>
      <c r="D45" s="1"/>
      <c r="E45" s="1"/>
    </row>
    <row r="46" ht="15.0" customHeight="1">
      <c r="A46" s="1"/>
      <c r="B46" s="1"/>
      <c r="C46" s="1"/>
      <c r="D46" s="1"/>
      <c r="E46" s="1"/>
    </row>
    <row r="47" ht="23.25" customHeight="1">
      <c r="A47" s="1"/>
      <c r="B47" s="55" t="s">
        <v>492</v>
      </c>
      <c r="C47" s="56"/>
      <c r="D47" s="56"/>
      <c r="E47" s="56"/>
    </row>
    <row r="48" ht="15.0" customHeight="1">
      <c r="A48" s="1"/>
      <c r="B48" s="23" t="s">
        <v>493</v>
      </c>
      <c r="C48" s="41">
        <f>DATOS!G47</f>
        <v>151.58</v>
      </c>
      <c r="D48" s="42"/>
      <c r="E48" s="57" t="s">
        <v>494</v>
      </c>
    </row>
    <row r="49" ht="18.75" customHeight="1">
      <c r="A49" s="1"/>
      <c r="B49" s="23" t="s">
        <v>495</v>
      </c>
      <c r="C49" s="86">
        <f>(DATOS!I59-DATOS!I60)*DATOS!K69/1000</f>
        <v>1745.46</v>
      </c>
      <c r="D49" s="42"/>
      <c r="E49" s="12" t="s">
        <v>496</v>
      </c>
    </row>
    <row r="50" ht="15.0" customHeight="1">
      <c r="A50" s="1"/>
      <c r="B50" s="87" t="s">
        <v>497</v>
      </c>
      <c r="C50" s="88">
        <f>DATOS!G47+C49</f>
        <v>1897.04</v>
      </c>
      <c r="D50" s="42"/>
      <c r="E50" s="12" t="s">
        <v>498</v>
      </c>
    </row>
    <row r="51" ht="15.0" customHeight="1">
      <c r="A51" s="1"/>
      <c r="B51" s="9" t="s">
        <v>499</v>
      </c>
      <c r="C51" s="79">
        <f>C50/DATOS!I28</f>
        <v>78.7153527</v>
      </c>
      <c r="D51" s="1"/>
      <c r="E51" s="1"/>
    </row>
    <row r="52" ht="15.75" customHeight="1">
      <c r="A52" s="1"/>
      <c r="B52" s="1"/>
      <c r="C52" s="1"/>
      <c r="D52" s="1"/>
      <c r="E52" s="1"/>
    </row>
    <row r="53" ht="15.0" customHeight="1">
      <c r="A53" s="1"/>
      <c r="B53" s="55" t="s">
        <v>500</v>
      </c>
      <c r="C53" s="56"/>
      <c r="D53" s="56"/>
      <c r="E53" s="56"/>
    </row>
    <row r="54" ht="15.0" customHeight="1">
      <c r="A54" s="1"/>
      <c r="B54" s="23" t="s">
        <v>501</v>
      </c>
      <c r="C54" s="41">
        <f>DATOS!I55*DATOS!I28</f>
        <v>241</v>
      </c>
      <c r="D54" s="42"/>
      <c r="E54" s="12" t="s">
        <v>502</v>
      </c>
    </row>
    <row r="55" ht="15.0" customHeight="1">
      <c r="A55" s="1"/>
      <c r="B55" s="23" t="s">
        <v>503</v>
      </c>
      <c r="C55" s="43">
        <f>(DATOS!I55*DATOS!I28)/(DATOS!I25*4/3)</f>
        <v>20.96867749</v>
      </c>
      <c r="D55" s="42"/>
      <c r="E55" s="12" t="s">
        <v>504</v>
      </c>
    </row>
    <row r="56" ht="15.0" customHeight="1">
      <c r="A56" s="1"/>
      <c r="B56" s="23" t="s">
        <v>505</v>
      </c>
      <c r="C56" s="43">
        <f>(DATOS!I55*DATOS!I28)/DATOS!G47</f>
        <v>1.589919514</v>
      </c>
      <c r="D56" s="42"/>
      <c r="E56" s="12" t="s">
        <v>506</v>
      </c>
    </row>
    <row r="57" ht="15.0" customHeight="1">
      <c r="A57" s="1"/>
      <c r="B57" s="9" t="s">
        <v>507</v>
      </c>
      <c r="C57" s="89" t="str">
        <f>C45</f>
        <v/>
      </c>
      <c r="D57" s="42"/>
      <c r="E57" s="12" t="s">
        <v>508</v>
      </c>
    </row>
    <row r="58" ht="15.0" customHeight="1">
      <c r="A58" s="1"/>
      <c r="B58" s="9" t="s">
        <v>509</v>
      </c>
      <c r="C58" s="89">
        <f>C51</f>
        <v>78.7153527</v>
      </c>
      <c r="D58" s="42"/>
      <c r="E58" s="12" t="s">
        <v>510</v>
      </c>
    </row>
    <row r="59" ht="15.0" customHeight="1">
      <c r="A59" s="1"/>
      <c r="B59" s="9" t="s">
        <v>511</v>
      </c>
      <c r="C59" s="90">
        <f>DATOS!I55</f>
        <v>10</v>
      </c>
      <c r="D59" s="42"/>
      <c r="E59" s="12" t="s">
        <v>448</v>
      </c>
    </row>
    <row r="60" ht="18.75" customHeight="1">
      <c r="A60" s="1"/>
      <c r="B60" s="9" t="s">
        <v>512</v>
      </c>
      <c r="C60" s="91">
        <f>C45/DATOS!I55-1</f>
        <v>-1</v>
      </c>
      <c r="D60" s="91">
        <f>C51/DATOS!I55-1</f>
        <v>6.87153527</v>
      </c>
      <c r="E60" s="12" t="s">
        <v>513</v>
      </c>
    </row>
    <row r="61" ht="15.75" customHeight="1">
      <c r="A61" s="1"/>
      <c r="B61" s="1"/>
      <c r="C61" s="1"/>
      <c r="D61" s="1"/>
      <c r="E61" s="1"/>
    </row>
    <row r="62" ht="72.0" customHeight="1">
      <c r="A62" s="1"/>
      <c r="B62" s="47" t="s">
        <v>514</v>
      </c>
    </row>
    <row r="63" ht="15.75" customHeight="1">
      <c r="A63" s="1"/>
      <c r="B63" s="1"/>
      <c r="C63" s="1"/>
      <c r="D63" s="1"/>
      <c r="E63" s="1"/>
    </row>
    <row r="64" ht="15.75" customHeight="1">
      <c r="A64" s="1"/>
      <c r="B64" s="1"/>
      <c r="C64" s="1"/>
      <c r="D64" s="1"/>
      <c r="E64" s="1"/>
    </row>
    <row r="65" ht="15.75" customHeight="1">
      <c r="A65" s="1"/>
      <c r="B65" s="1"/>
      <c r="C65" s="1"/>
      <c r="D65" s="1"/>
      <c r="E65" s="1"/>
    </row>
    <row r="66" ht="15.75" customHeight="1">
      <c r="A66" s="1"/>
      <c r="B66" s="1"/>
      <c r="C66" s="1"/>
      <c r="D66" s="1"/>
      <c r="E66" s="1"/>
    </row>
    <row r="67" ht="15.75" customHeight="1">
      <c r="A67" s="1"/>
      <c r="B67" s="1"/>
      <c r="C67" s="1"/>
      <c r="D67" s="1"/>
      <c r="E67" s="1"/>
    </row>
    <row r="68" ht="15.75" customHeight="1">
      <c r="A68" s="1"/>
      <c r="B68" s="1"/>
      <c r="C68" s="1"/>
      <c r="D68" s="1"/>
      <c r="E68" s="1"/>
    </row>
    <row r="69" ht="15.75" customHeight="1">
      <c r="A69" s="1"/>
      <c r="B69" s="1"/>
      <c r="C69" s="1"/>
      <c r="D69" s="1"/>
      <c r="E69" s="1"/>
    </row>
    <row r="70" ht="15.75" customHeight="1">
      <c r="A70" s="1"/>
      <c r="B70" s="1"/>
      <c r="C70" s="1"/>
      <c r="D70" s="1"/>
      <c r="E70" s="1"/>
    </row>
    <row r="71" ht="15.75" customHeight="1">
      <c r="A71" s="1"/>
      <c r="B71" s="1"/>
      <c r="C71" s="1"/>
      <c r="D71" s="1"/>
      <c r="E71" s="1"/>
    </row>
    <row r="72" ht="15.75" customHeight="1">
      <c r="A72" s="1"/>
      <c r="B72" s="1"/>
      <c r="C72" s="1"/>
      <c r="D72" s="1"/>
      <c r="E72" s="1"/>
    </row>
    <row r="73" ht="15.75" customHeight="1">
      <c r="A73" s="1"/>
      <c r="B73" s="1"/>
      <c r="C73" s="1"/>
      <c r="D73" s="1"/>
      <c r="E73" s="1"/>
    </row>
    <row r="74" ht="15.75" customHeight="1">
      <c r="A74" s="1"/>
      <c r="B74" s="1"/>
      <c r="C74" s="1"/>
      <c r="D74" s="1"/>
      <c r="E74" s="1"/>
    </row>
    <row r="75" ht="15.75" customHeight="1">
      <c r="A75" s="1"/>
      <c r="B75" s="1"/>
      <c r="C75" s="1"/>
      <c r="D75" s="1"/>
      <c r="E75" s="1"/>
    </row>
    <row r="76" ht="15.75" customHeight="1">
      <c r="A76" s="1"/>
      <c r="B76" s="1"/>
      <c r="C76" s="1"/>
      <c r="D76" s="1"/>
      <c r="E76" s="1"/>
    </row>
    <row r="77" ht="15.75" customHeight="1">
      <c r="A77" s="1"/>
      <c r="B77" s="1"/>
      <c r="C77" s="1"/>
      <c r="D77" s="1"/>
      <c r="E77" s="1"/>
    </row>
    <row r="78" ht="15.75" customHeight="1">
      <c r="A78" s="1"/>
      <c r="B78" s="1"/>
      <c r="C78" s="1"/>
      <c r="D78" s="1"/>
      <c r="E78" s="1"/>
    </row>
    <row r="79" ht="15.75" customHeight="1">
      <c r="A79" s="1"/>
      <c r="B79" s="1"/>
      <c r="C79" s="1"/>
      <c r="D79" s="1"/>
      <c r="E79" s="1"/>
    </row>
    <row r="80" ht="15.75" customHeight="1">
      <c r="A80" s="1"/>
      <c r="B80" s="1"/>
      <c r="C80" s="1"/>
      <c r="D80" s="1"/>
      <c r="E80" s="1"/>
    </row>
    <row r="81" ht="15.75" customHeight="1">
      <c r="A81" s="1"/>
      <c r="B81" s="1"/>
      <c r="C81" s="1"/>
      <c r="D81" s="1"/>
      <c r="E81" s="1"/>
    </row>
    <row r="82" ht="15.75" customHeight="1">
      <c r="A82" s="1"/>
      <c r="B82" s="1"/>
      <c r="C82" s="1"/>
      <c r="D82" s="1"/>
      <c r="E82" s="1"/>
    </row>
    <row r="83" ht="15.75" customHeight="1">
      <c r="A83" s="1"/>
      <c r="B83" s="1"/>
      <c r="C83" s="1"/>
      <c r="D83" s="1"/>
      <c r="E83" s="1"/>
    </row>
    <row r="84" ht="15.75" customHeight="1">
      <c r="A84" s="1"/>
      <c r="B84" s="1"/>
      <c r="C84" s="1"/>
      <c r="D84" s="1"/>
      <c r="E84" s="1"/>
    </row>
    <row r="85" ht="15.75" customHeight="1">
      <c r="A85" s="1"/>
      <c r="B85" s="1"/>
      <c r="C85" s="1"/>
      <c r="D85" s="1"/>
      <c r="E85" s="1"/>
    </row>
    <row r="86" ht="15.75" customHeight="1">
      <c r="A86" s="1"/>
      <c r="B86" s="1"/>
      <c r="C86" s="1"/>
      <c r="D86" s="1"/>
      <c r="E86" s="1"/>
    </row>
    <row r="87" ht="15.75" customHeight="1">
      <c r="A87" s="1"/>
      <c r="B87" s="1"/>
      <c r="C87" s="1"/>
      <c r="D87" s="1"/>
      <c r="E87" s="1"/>
    </row>
    <row r="88" ht="15.75" customHeight="1">
      <c r="A88" s="1"/>
      <c r="B88" s="1"/>
      <c r="C88" s="1"/>
      <c r="D88" s="1"/>
      <c r="E88" s="1"/>
    </row>
    <row r="89" ht="15.75" customHeight="1">
      <c r="A89" s="1"/>
      <c r="B89" s="1"/>
      <c r="C89" s="1"/>
      <c r="D89" s="1"/>
      <c r="E89" s="1"/>
    </row>
    <row r="90" ht="15.75" customHeight="1">
      <c r="A90" s="1"/>
      <c r="B90" s="1"/>
      <c r="C90" s="1"/>
      <c r="D90" s="1"/>
      <c r="E90" s="1"/>
    </row>
    <row r="91" ht="15.75" customHeight="1">
      <c r="A91" s="1"/>
      <c r="B91" s="1"/>
      <c r="C91" s="1"/>
      <c r="D91" s="1"/>
      <c r="E91" s="1"/>
    </row>
    <row r="92" ht="15.75" customHeight="1">
      <c r="A92" s="1"/>
      <c r="B92" s="1"/>
      <c r="C92" s="1"/>
      <c r="D92" s="1"/>
      <c r="E92" s="1"/>
    </row>
    <row r="93" ht="15.75" customHeight="1">
      <c r="A93" s="1"/>
      <c r="B93" s="1"/>
      <c r="C93" s="1"/>
      <c r="D93" s="1"/>
      <c r="E93" s="1"/>
    </row>
    <row r="94" ht="15.75" customHeight="1">
      <c r="A94" s="1"/>
      <c r="B94" s="1"/>
      <c r="C94" s="1"/>
      <c r="D94" s="1"/>
      <c r="E94" s="1"/>
    </row>
    <row r="95" ht="15.75" customHeight="1">
      <c r="A95" s="1"/>
      <c r="B95" s="1"/>
      <c r="C95" s="1"/>
      <c r="D95" s="1"/>
      <c r="E95" s="1"/>
    </row>
    <row r="96" ht="15.75" customHeight="1">
      <c r="A96" s="1"/>
      <c r="B96" s="1"/>
      <c r="C96" s="1"/>
      <c r="D96" s="1"/>
      <c r="E96" s="1"/>
    </row>
    <row r="97" ht="15.75" customHeight="1">
      <c r="A97" s="1"/>
      <c r="B97" s="1"/>
      <c r="C97" s="1"/>
      <c r="D97" s="1"/>
      <c r="E97" s="1"/>
    </row>
    <row r="98" ht="15.75" customHeight="1">
      <c r="A98" s="1"/>
      <c r="B98" s="1"/>
      <c r="C98" s="1"/>
      <c r="D98" s="1"/>
      <c r="E98" s="1"/>
    </row>
    <row r="99" ht="15.75" customHeight="1">
      <c r="A99" s="1"/>
      <c r="B99" s="1"/>
      <c r="C99" s="1"/>
      <c r="D99" s="1"/>
      <c r="E99" s="1"/>
    </row>
    <row r="100" ht="15.75" customHeight="1">
      <c r="A100" s="1"/>
      <c r="B100" s="1"/>
      <c r="C100" s="1"/>
      <c r="D100" s="1"/>
      <c r="E100" s="1"/>
    </row>
    <row r="101" ht="15.75" customHeight="1">
      <c r="A101" s="1"/>
      <c r="B101" s="1"/>
      <c r="C101" s="1"/>
      <c r="D101" s="1"/>
      <c r="E101" s="1"/>
    </row>
    <row r="102" ht="15.75" customHeight="1">
      <c r="A102" s="1"/>
      <c r="B102" s="1"/>
      <c r="C102" s="1"/>
      <c r="D102" s="1"/>
      <c r="E102" s="1"/>
    </row>
    <row r="103" ht="15.75" customHeight="1">
      <c r="A103" s="1"/>
      <c r="B103" s="1"/>
      <c r="C103" s="1"/>
      <c r="D103" s="1"/>
      <c r="E103" s="1"/>
    </row>
    <row r="104" ht="15.75" customHeight="1">
      <c r="A104" s="1"/>
      <c r="B104" s="1"/>
      <c r="C104" s="1"/>
      <c r="D104" s="1"/>
      <c r="E104" s="1"/>
    </row>
    <row r="105" ht="15.75" customHeight="1">
      <c r="A105" s="1"/>
      <c r="B105" s="1"/>
      <c r="C105" s="1"/>
      <c r="D105" s="1"/>
      <c r="E105" s="1"/>
    </row>
    <row r="106" ht="15.75" customHeight="1">
      <c r="A106" s="1"/>
      <c r="B106" s="1"/>
      <c r="C106" s="1"/>
      <c r="D106" s="1"/>
      <c r="E106" s="1"/>
    </row>
    <row r="107" ht="15.75" customHeight="1">
      <c r="A107" s="1"/>
      <c r="B107" s="1"/>
      <c r="C107" s="1"/>
      <c r="D107" s="1"/>
      <c r="E107" s="1"/>
    </row>
    <row r="108" ht="15.75" customHeight="1">
      <c r="A108" s="1"/>
      <c r="B108" s="1"/>
      <c r="C108" s="1"/>
      <c r="D108" s="1"/>
      <c r="E108" s="1"/>
    </row>
    <row r="109" ht="15.75" customHeight="1">
      <c r="A109" s="1"/>
      <c r="B109" s="1"/>
      <c r="C109" s="1"/>
      <c r="D109" s="1"/>
      <c r="E109" s="1"/>
    </row>
    <row r="110" ht="15.75" customHeight="1">
      <c r="A110" s="1"/>
      <c r="B110" s="1"/>
      <c r="C110" s="1"/>
      <c r="D110" s="1"/>
      <c r="E110" s="1"/>
    </row>
    <row r="111" ht="15.75" customHeight="1">
      <c r="A111" s="1"/>
      <c r="B111" s="1"/>
      <c r="C111" s="1"/>
      <c r="D111" s="1"/>
      <c r="E111" s="1"/>
    </row>
    <row r="112" ht="15.75" customHeight="1">
      <c r="A112" s="1"/>
      <c r="B112" s="1"/>
      <c r="C112" s="1"/>
      <c r="D112" s="1"/>
      <c r="E112" s="1"/>
    </row>
    <row r="113" ht="15.75" customHeight="1">
      <c r="A113" s="1"/>
      <c r="B113" s="1"/>
      <c r="C113" s="1"/>
      <c r="D113" s="1"/>
      <c r="E113" s="1"/>
    </row>
    <row r="114" ht="15.75" customHeight="1">
      <c r="A114" s="1"/>
      <c r="B114" s="1"/>
      <c r="C114" s="1"/>
      <c r="D114" s="1"/>
      <c r="E114" s="1"/>
    </row>
    <row r="115" ht="15.75" customHeight="1">
      <c r="A115" s="1"/>
      <c r="B115" s="1"/>
      <c r="C115" s="1"/>
      <c r="D115" s="1"/>
      <c r="E115" s="1"/>
    </row>
    <row r="116" ht="15.75" customHeight="1">
      <c r="A116" s="1"/>
      <c r="B116" s="1"/>
      <c r="C116" s="1"/>
      <c r="D116" s="1"/>
      <c r="E116" s="1"/>
    </row>
    <row r="117" ht="15.75" customHeight="1">
      <c r="A117" s="1"/>
      <c r="B117" s="1"/>
      <c r="C117" s="1"/>
      <c r="D117" s="1"/>
      <c r="E117" s="1"/>
    </row>
    <row r="118" ht="15.75" customHeight="1">
      <c r="A118" s="1"/>
      <c r="B118" s="1"/>
      <c r="C118" s="1"/>
      <c r="D118" s="1"/>
      <c r="E118" s="1"/>
    </row>
    <row r="119" ht="15.75" customHeight="1">
      <c r="A119" s="1"/>
      <c r="B119" s="1"/>
      <c r="C119" s="1"/>
      <c r="D119" s="1"/>
      <c r="E119" s="1"/>
    </row>
    <row r="120" ht="15.75" customHeight="1">
      <c r="A120" s="1"/>
      <c r="B120" s="1"/>
      <c r="C120" s="1"/>
      <c r="D120" s="1"/>
      <c r="E120" s="1"/>
    </row>
    <row r="121" ht="15.75" customHeight="1">
      <c r="A121" s="1"/>
      <c r="B121" s="1"/>
      <c r="C121" s="1"/>
      <c r="D121" s="1"/>
      <c r="E121" s="1"/>
    </row>
    <row r="122" ht="15.75" customHeight="1">
      <c r="A122" s="1"/>
      <c r="B122" s="1"/>
      <c r="C122" s="1"/>
      <c r="D122" s="1"/>
      <c r="E122" s="1"/>
    </row>
    <row r="123" ht="15.75" customHeight="1">
      <c r="A123" s="1"/>
      <c r="B123" s="1"/>
      <c r="C123" s="1"/>
      <c r="D123" s="1"/>
      <c r="E123" s="1"/>
    </row>
    <row r="124" ht="15.75" customHeight="1">
      <c r="A124" s="1"/>
      <c r="B124" s="1"/>
      <c r="C124" s="1"/>
      <c r="D124" s="1"/>
      <c r="E124" s="1"/>
    </row>
    <row r="125" ht="15.75" customHeight="1">
      <c r="A125" s="1"/>
      <c r="B125" s="1"/>
      <c r="C125" s="1"/>
      <c r="D125" s="1"/>
      <c r="E125" s="1"/>
    </row>
    <row r="126" ht="15.75" customHeight="1">
      <c r="A126" s="1"/>
      <c r="B126" s="1"/>
      <c r="C126" s="1"/>
      <c r="D126" s="1"/>
      <c r="E126" s="1"/>
    </row>
    <row r="127" ht="15.75" customHeight="1">
      <c r="A127" s="1"/>
      <c r="B127" s="1"/>
      <c r="C127" s="1"/>
      <c r="D127" s="1"/>
      <c r="E127" s="1"/>
    </row>
    <row r="128" ht="15.75" customHeight="1">
      <c r="A128" s="1"/>
      <c r="B128" s="1"/>
      <c r="C128" s="1"/>
      <c r="D128" s="1"/>
      <c r="E128" s="1"/>
    </row>
    <row r="129" ht="15.75" customHeight="1">
      <c r="A129" s="1"/>
      <c r="B129" s="1"/>
      <c r="C129" s="1"/>
      <c r="D129" s="1"/>
      <c r="E129" s="1"/>
    </row>
    <row r="130" ht="15.75" customHeight="1">
      <c r="A130" s="1"/>
      <c r="B130" s="1"/>
      <c r="C130" s="1"/>
      <c r="D130" s="1"/>
      <c r="E130" s="1"/>
    </row>
    <row r="131" ht="15.75" customHeight="1">
      <c r="A131" s="1"/>
      <c r="B131" s="1"/>
      <c r="C131" s="1"/>
      <c r="D131" s="1"/>
      <c r="E131" s="1"/>
    </row>
    <row r="132" ht="15.75" customHeight="1">
      <c r="A132" s="1"/>
      <c r="B132" s="1"/>
      <c r="C132" s="1"/>
      <c r="D132" s="1"/>
      <c r="E132" s="1"/>
    </row>
    <row r="133" ht="15.75" customHeight="1">
      <c r="A133" s="1"/>
      <c r="B133" s="1"/>
      <c r="C133" s="1"/>
      <c r="D133" s="1"/>
      <c r="E133" s="1"/>
    </row>
    <row r="134" ht="15.75" customHeight="1">
      <c r="A134" s="1"/>
      <c r="B134" s="1"/>
      <c r="C134" s="1"/>
      <c r="D134" s="1"/>
      <c r="E134" s="1"/>
    </row>
    <row r="135" ht="15.75" customHeight="1">
      <c r="A135" s="1"/>
      <c r="B135" s="1"/>
      <c r="C135" s="1"/>
      <c r="D135" s="1"/>
      <c r="E135" s="1"/>
    </row>
    <row r="136" ht="15.75" customHeight="1">
      <c r="A136" s="1"/>
      <c r="B136" s="1"/>
      <c r="C136" s="1"/>
      <c r="D136" s="1"/>
      <c r="E136" s="1"/>
    </row>
    <row r="137" ht="15.75" customHeight="1">
      <c r="A137" s="1"/>
      <c r="B137" s="1"/>
      <c r="C137" s="1"/>
      <c r="D137" s="1"/>
      <c r="E137" s="1"/>
    </row>
    <row r="138" ht="15.75" customHeight="1">
      <c r="A138" s="1"/>
      <c r="B138" s="1"/>
      <c r="C138" s="1"/>
      <c r="D138" s="1"/>
      <c r="E138" s="1"/>
    </row>
    <row r="139" ht="15.75" customHeight="1">
      <c r="A139" s="1"/>
      <c r="B139" s="1"/>
      <c r="C139" s="1"/>
      <c r="D139" s="1"/>
      <c r="E139" s="1"/>
    </row>
    <row r="140" ht="15.75" customHeight="1">
      <c r="A140" s="1"/>
      <c r="B140" s="1"/>
      <c r="C140" s="1"/>
      <c r="D140" s="1"/>
      <c r="E140" s="1"/>
    </row>
    <row r="141" ht="15.75" customHeight="1">
      <c r="A141" s="1"/>
      <c r="B141" s="1"/>
      <c r="C141" s="1"/>
      <c r="D141" s="1"/>
      <c r="E141" s="1"/>
    </row>
    <row r="142" ht="15.75" customHeight="1">
      <c r="A142" s="1"/>
      <c r="B142" s="1"/>
      <c r="C142" s="1"/>
      <c r="D142" s="1"/>
      <c r="E142" s="1"/>
    </row>
    <row r="143" ht="15.75" customHeight="1">
      <c r="A143" s="1"/>
      <c r="B143" s="1"/>
      <c r="C143" s="1"/>
      <c r="D143" s="1"/>
      <c r="E143" s="1"/>
    </row>
    <row r="144" ht="15.75" customHeight="1">
      <c r="A144" s="1"/>
      <c r="B144" s="1"/>
      <c r="C144" s="1"/>
      <c r="D144" s="1"/>
      <c r="E144" s="1"/>
    </row>
    <row r="145" ht="15.75" customHeight="1">
      <c r="A145" s="1"/>
      <c r="B145" s="1"/>
      <c r="C145" s="1"/>
      <c r="D145" s="1"/>
      <c r="E145" s="1"/>
    </row>
    <row r="146" ht="15.75" customHeight="1">
      <c r="A146" s="1"/>
      <c r="B146" s="1"/>
      <c r="C146" s="1"/>
      <c r="D146" s="1"/>
      <c r="E146" s="1"/>
    </row>
    <row r="147" ht="15.75" customHeight="1">
      <c r="A147" s="1"/>
      <c r="B147" s="1"/>
      <c r="C147" s="1"/>
      <c r="D147" s="1"/>
      <c r="E147" s="1"/>
    </row>
    <row r="148" ht="15.75" customHeight="1">
      <c r="A148" s="1"/>
      <c r="B148" s="1"/>
      <c r="C148" s="1"/>
      <c r="D148" s="1"/>
      <c r="E148" s="1"/>
    </row>
    <row r="149" ht="15.75" customHeight="1">
      <c r="A149" s="1"/>
      <c r="B149" s="1"/>
      <c r="C149" s="1"/>
      <c r="D149" s="1"/>
      <c r="E149" s="1"/>
    </row>
    <row r="150" ht="15.75" customHeight="1">
      <c r="A150" s="1"/>
      <c r="B150" s="1"/>
      <c r="C150" s="1"/>
      <c r="D150" s="1"/>
      <c r="E150" s="1"/>
    </row>
    <row r="151" ht="15.75" customHeight="1">
      <c r="A151" s="1"/>
      <c r="B151" s="1"/>
      <c r="C151" s="1"/>
      <c r="D151" s="1"/>
      <c r="E151" s="1"/>
    </row>
    <row r="152" ht="15.75" customHeight="1">
      <c r="A152" s="1"/>
      <c r="B152" s="1"/>
      <c r="C152" s="1"/>
      <c r="D152" s="1"/>
      <c r="E152" s="1"/>
    </row>
    <row r="153" ht="15.75" customHeight="1">
      <c r="A153" s="1"/>
      <c r="B153" s="1"/>
      <c r="C153" s="1"/>
      <c r="D153" s="1"/>
      <c r="E153" s="1"/>
    </row>
    <row r="154" ht="15.75" customHeight="1">
      <c r="A154" s="1"/>
      <c r="B154" s="1"/>
      <c r="C154" s="1"/>
      <c r="D154" s="1"/>
      <c r="E154" s="1"/>
    </row>
    <row r="155" ht="15.75" customHeight="1">
      <c r="A155" s="1"/>
      <c r="B155" s="1"/>
      <c r="C155" s="1"/>
      <c r="D155" s="1"/>
      <c r="E155" s="1"/>
    </row>
    <row r="156" ht="15.75" customHeight="1">
      <c r="A156" s="1"/>
      <c r="B156" s="1"/>
      <c r="C156" s="1"/>
      <c r="D156" s="1"/>
      <c r="E156" s="1"/>
    </row>
    <row r="157" ht="15.75" customHeight="1">
      <c r="A157" s="1"/>
      <c r="B157" s="1"/>
      <c r="C157" s="1"/>
      <c r="D157" s="1"/>
      <c r="E157" s="1"/>
    </row>
    <row r="158" ht="15.75" customHeight="1">
      <c r="A158" s="1"/>
      <c r="B158" s="1"/>
      <c r="C158" s="1"/>
      <c r="D158" s="1"/>
      <c r="E158" s="1"/>
    </row>
    <row r="159" ht="15.75" customHeight="1">
      <c r="A159" s="1"/>
      <c r="B159" s="1"/>
      <c r="C159" s="1"/>
      <c r="D159" s="1"/>
      <c r="E159" s="1"/>
    </row>
    <row r="160" ht="15.75" customHeight="1">
      <c r="A160" s="1"/>
      <c r="B160" s="1"/>
      <c r="C160" s="1"/>
      <c r="D160" s="1"/>
      <c r="E160" s="1"/>
    </row>
    <row r="161" ht="15.75" customHeight="1">
      <c r="A161" s="1"/>
      <c r="B161" s="1"/>
      <c r="C161" s="1"/>
      <c r="D161" s="1"/>
      <c r="E161" s="1"/>
    </row>
    <row r="162" ht="15.75" customHeight="1">
      <c r="A162" s="1"/>
      <c r="B162" s="1"/>
      <c r="C162" s="1"/>
      <c r="D162" s="1"/>
      <c r="E162" s="1"/>
    </row>
    <row r="163" ht="15.75" customHeight="1">
      <c r="A163" s="1"/>
      <c r="B163" s="1"/>
      <c r="C163" s="1"/>
      <c r="D163" s="1"/>
      <c r="E163" s="1"/>
    </row>
    <row r="164" ht="15.75" customHeight="1">
      <c r="A164" s="1"/>
      <c r="B164" s="1"/>
      <c r="C164" s="1"/>
      <c r="D164" s="1"/>
      <c r="E164" s="1"/>
    </row>
    <row r="165" ht="15.75" customHeight="1">
      <c r="A165" s="1"/>
      <c r="B165" s="1"/>
      <c r="C165" s="1"/>
      <c r="D165" s="1"/>
      <c r="E165" s="1"/>
    </row>
    <row r="166" ht="15.75" customHeight="1">
      <c r="A166" s="1"/>
      <c r="B166" s="1"/>
      <c r="C166" s="1"/>
      <c r="D166" s="1"/>
      <c r="E166" s="1"/>
    </row>
    <row r="167" ht="15.75" customHeight="1">
      <c r="A167" s="1"/>
      <c r="B167" s="1"/>
      <c r="C167" s="1"/>
      <c r="D167" s="1"/>
      <c r="E167" s="1"/>
    </row>
    <row r="168" ht="15.75" customHeight="1">
      <c r="A168" s="1"/>
      <c r="B168" s="1"/>
      <c r="C168" s="1"/>
      <c r="D168" s="1"/>
      <c r="E168" s="1"/>
    </row>
    <row r="169" ht="15.75" customHeight="1">
      <c r="A169" s="1"/>
      <c r="B169" s="1"/>
      <c r="C169" s="1"/>
      <c r="D169" s="1"/>
      <c r="E169" s="1"/>
    </row>
    <row r="170" ht="15.75" customHeight="1">
      <c r="A170" s="1"/>
      <c r="B170" s="1"/>
      <c r="C170" s="1"/>
      <c r="D170" s="1"/>
      <c r="E170" s="1"/>
    </row>
    <row r="171" ht="15.75" customHeight="1">
      <c r="A171" s="1"/>
      <c r="B171" s="1"/>
      <c r="C171" s="1"/>
      <c r="D171" s="1"/>
      <c r="E171" s="1"/>
    </row>
    <row r="172" ht="15.75" customHeight="1">
      <c r="A172" s="1"/>
      <c r="B172" s="1"/>
      <c r="C172" s="1"/>
      <c r="D172" s="1"/>
      <c r="E172" s="1"/>
    </row>
    <row r="173" ht="15.75" customHeight="1">
      <c r="A173" s="1"/>
      <c r="B173" s="1"/>
      <c r="C173" s="1"/>
      <c r="D173" s="1"/>
      <c r="E173" s="1"/>
    </row>
    <row r="174" ht="15.75" customHeight="1">
      <c r="A174" s="1"/>
      <c r="B174" s="1"/>
      <c r="C174" s="1"/>
      <c r="D174" s="1"/>
      <c r="E174" s="1"/>
    </row>
    <row r="175" ht="15.75" customHeight="1">
      <c r="A175" s="1"/>
      <c r="B175" s="1"/>
      <c r="C175" s="1"/>
      <c r="D175" s="1"/>
      <c r="E175" s="1"/>
    </row>
    <row r="176" ht="15.75" customHeight="1">
      <c r="A176" s="1"/>
      <c r="B176" s="1"/>
      <c r="C176" s="1"/>
      <c r="D176" s="1"/>
      <c r="E176" s="1"/>
    </row>
    <row r="177" ht="15.75" customHeight="1">
      <c r="A177" s="1"/>
      <c r="B177" s="1"/>
      <c r="C177" s="1"/>
      <c r="D177" s="1"/>
      <c r="E177" s="1"/>
    </row>
    <row r="178" ht="15.75" customHeight="1">
      <c r="A178" s="1"/>
      <c r="B178" s="1"/>
      <c r="C178" s="1"/>
      <c r="D178" s="1"/>
      <c r="E178" s="1"/>
    </row>
    <row r="179" ht="15.75" customHeight="1">
      <c r="A179" s="1"/>
      <c r="B179" s="1"/>
      <c r="C179" s="1"/>
      <c r="D179" s="1"/>
      <c r="E179" s="1"/>
    </row>
    <row r="180" ht="15.75" customHeight="1">
      <c r="A180" s="1"/>
      <c r="B180" s="1"/>
      <c r="C180" s="1"/>
      <c r="D180" s="1"/>
      <c r="E180" s="1"/>
    </row>
    <row r="181" ht="15.75" customHeight="1">
      <c r="A181" s="1"/>
      <c r="B181" s="1"/>
      <c r="C181" s="1"/>
      <c r="D181" s="1"/>
      <c r="E181" s="1"/>
    </row>
    <row r="182" ht="15.75" customHeight="1">
      <c r="A182" s="1"/>
      <c r="B182" s="1"/>
      <c r="C182" s="1"/>
      <c r="D182" s="1"/>
      <c r="E182" s="1"/>
    </row>
    <row r="183" ht="15.75" customHeight="1">
      <c r="A183" s="1"/>
      <c r="B183" s="1"/>
      <c r="C183" s="1"/>
      <c r="D183" s="1"/>
      <c r="E183" s="1"/>
    </row>
    <row r="184" ht="15.75" customHeight="1">
      <c r="A184" s="1"/>
      <c r="B184" s="1"/>
      <c r="C184" s="1"/>
      <c r="D184" s="1"/>
      <c r="E184" s="1"/>
    </row>
    <row r="185" ht="15.75" customHeight="1">
      <c r="A185" s="1"/>
      <c r="B185" s="1"/>
      <c r="C185" s="1"/>
      <c r="D185" s="1"/>
      <c r="E185" s="1"/>
    </row>
    <row r="186" ht="15.75" customHeight="1">
      <c r="A186" s="1"/>
      <c r="B186" s="1"/>
      <c r="C186" s="1"/>
      <c r="D186" s="1"/>
      <c r="E186" s="1"/>
    </row>
    <row r="187" ht="15.75" customHeight="1">
      <c r="A187" s="1"/>
      <c r="B187" s="1"/>
      <c r="C187" s="1"/>
      <c r="D187" s="1"/>
      <c r="E187" s="1"/>
    </row>
    <row r="188" ht="15.75" customHeight="1">
      <c r="A188" s="1"/>
      <c r="B188" s="1"/>
      <c r="C188" s="1"/>
      <c r="D188" s="1"/>
      <c r="E188" s="1"/>
    </row>
    <row r="189" ht="15.75" customHeight="1">
      <c r="A189" s="1"/>
      <c r="B189" s="1"/>
      <c r="C189" s="1"/>
      <c r="D189" s="1"/>
      <c r="E189" s="1"/>
    </row>
    <row r="190" ht="15.75" customHeight="1">
      <c r="A190" s="1"/>
      <c r="B190" s="1"/>
      <c r="C190" s="1"/>
      <c r="D190" s="1"/>
      <c r="E190" s="1"/>
    </row>
    <row r="191" ht="15.75" customHeight="1">
      <c r="A191" s="1"/>
      <c r="B191" s="1"/>
      <c r="C191" s="1"/>
      <c r="D191" s="1"/>
      <c r="E191" s="1"/>
    </row>
    <row r="192" ht="15.75" customHeight="1">
      <c r="A192" s="1"/>
      <c r="B192" s="1"/>
      <c r="C192" s="1"/>
      <c r="D192" s="1"/>
      <c r="E192" s="1"/>
    </row>
    <row r="193" ht="15.75" customHeight="1">
      <c r="A193" s="1"/>
      <c r="B193" s="1"/>
      <c r="C193" s="1"/>
      <c r="D193" s="1"/>
      <c r="E193" s="1"/>
    </row>
    <row r="194" ht="15.75" customHeight="1">
      <c r="A194" s="1"/>
      <c r="B194" s="1"/>
      <c r="C194" s="1"/>
      <c r="D194" s="1"/>
      <c r="E194" s="1"/>
    </row>
    <row r="195" ht="15.75" customHeight="1">
      <c r="A195" s="1"/>
      <c r="B195" s="1"/>
      <c r="C195" s="1"/>
      <c r="D195" s="1"/>
      <c r="E195" s="1"/>
    </row>
    <row r="196" ht="15.75" customHeight="1">
      <c r="A196" s="1"/>
      <c r="B196" s="1"/>
      <c r="C196" s="1"/>
      <c r="D196" s="1"/>
      <c r="E196" s="1"/>
    </row>
    <row r="197" ht="15.75" customHeight="1">
      <c r="A197" s="1"/>
      <c r="B197" s="1"/>
      <c r="C197" s="1"/>
      <c r="D197" s="1"/>
      <c r="E197" s="1"/>
    </row>
    <row r="198" ht="15.75" customHeight="1">
      <c r="A198" s="1"/>
      <c r="B198" s="1"/>
      <c r="C198" s="1"/>
      <c r="D198" s="1"/>
      <c r="E198" s="1"/>
    </row>
    <row r="199" ht="15.75" customHeight="1">
      <c r="A199" s="1"/>
      <c r="B199" s="1"/>
      <c r="C199" s="1"/>
      <c r="D199" s="1"/>
      <c r="E199" s="1"/>
    </row>
    <row r="200" ht="15.75" customHeight="1">
      <c r="A200" s="1"/>
      <c r="B200" s="1"/>
      <c r="C200" s="1"/>
      <c r="D200" s="1"/>
      <c r="E200" s="1"/>
    </row>
    <row r="201" ht="15.75" customHeight="1">
      <c r="A201" s="1"/>
      <c r="B201" s="1"/>
      <c r="C201" s="1"/>
      <c r="D201" s="1"/>
      <c r="E201" s="1"/>
    </row>
    <row r="202" ht="15.75" customHeight="1">
      <c r="A202" s="1"/>
      <c r="B202" s="1"/>
      <c r="C202" s="1"/>
      <c r="D202" s="1"/>
      <c r="E202" s="1"/>
    </row>
    <row r="203" ht="15.75" customHeight="1">
      <c r="A203" s="1"/>
      <c r="B203" s="1"/>
      <c r="C203" s="1"/>
      <c r="D203" s="1"/>
      <c r="E203" s="1"/>
    </row>
    <row r="204" ht="15.75" customHeight="1">
      <c r="A204" s="1"/>
      <c r="B204" s="1"/>
      <c r="C204" s="1"/>
      <c r="D204" s="1"/>
      <c r="E204" s="1"/>
    </row>
    <row r="205" ht="15.75" customHeight="1">
      <c r="A205" s="1"/>
      <c r="B205" s="1"/>
      <c r="C205" s="1"/>
      <c r="D205" s="1"/>
      <c r="E205" s="1"/>
    </row>
    <row r="206" ht="15.75" customHeight="1">
      <c r="A206" s="1"/>
      <c r="B206" s="1"/>
      <c r="C206" s="1"/>
      <c r="D206" s="1"/>
      <c r="E206" s="1"/>
    </row>
    <row r="207" ht="15.75" customHeight="1">
      <c r="A207" s="1"/>
      <c r="B207" s="1"/>
      <c r="C207" s="1"/>
      <c r="D207" s="1"/>
      <c r="E207" s="1"/>
    </row>
    <row r="208" ht="15.75" customHeight="1">
      <c r="A208" s="1"/>
      <c r="B208" s="1"/>
      <c r="C208" s="1"/>
      <c r="D208" s="1"/>
      <c r="E208" s="1"/>
    </row>
    <row r="209" ht="15.75" customHeight="1">
      <c r="A209" s="1"/>
      <c r="B209" s="1"/>
      <c r="C209" s="1"/>
      <c r="D209" s="1"/>
      <c r="E209" s="1"/>
    </row>
    <row r="210" ht="15.75" customHeight="1">
      <c r="A210" s="1"/>
      <c r="B210" s="1"/>
      <c r="C210" s="1"/>
      <c r="D210" s="1"/>
      <c r="E210" s="1"/>
    </row>
    <row r="211" ht="15.75" customHeight="1">
      <c r="A211" s="1"/>
      <c r="B211" s="1"/>
      <c r="C211" s="1"/>
      <c r="D211" s="1"/>
      <c r="E211" s="1"/>
    </row>
    <row r="212" ht="15.75" customHeight="1">
      <c r="A212" s="1"/>
      <c r="B212" s="1"/>
      <c r="C212" s="1"/>
      <c r="D212" s="1"/>
      <c r="E212" s="1"/>
    </row>
    <row r="213" ht="15.75" customHeight="1">
      <c r="A213" s="1"/>
      <c r="B213" s="1"/>
      <c r="C213" s="1"/>
      <c r="D213" s="1"/>
      <c r="E213" s="1"/>
    </row>
    <row r="214" ht="15.75" customHeight="1">
      <c r="A214" s="1"/>
      <c r="B214" s="1"/>
      <c r="C214" s="1"/>
      <c r="D214" s="1"/>
      <c r="E214" s="1"/>
    </row>
    <row r="215" ht="15.75" customHeight="1">
      <c r="A215" s="1"/>
      <c r="B215" s="1"/>
      <c r="C215" s="1"/>
      <c r="D215" s="1"/>
      <c r="E215" s="1"/>
    </row>
    <row r="216" ht="15.75" customHeight="1">
      <c r="A216" s="1"/>
      <c r="B216" s="1"/>
      <c r="C216" s="1"/>
      <c r="D216" s="1"/>
      <c r="E216" s="1"/>
    </row>
    <row r="217" ht="15.75" customHeight="1">
      <c r="A217" s="1"/>
      <c r="B217" s="1"/>
      <c r="C217" s="1"/>
      <c r="D217" s="1"/>
      <c r="E217" s="1"/>
    </row>
    <row r="218" ht="15.75" customHeight="1">
      <c r="A218" s="1"/>
      <c r="B218" s="1"/>
      <c r="C218" s="1"/>
      <c r="D218" s="1"/>
      <c r="E218" s="1"/>
    </row>
    <row r="219" ht="15.75" customHeight="1">
      <c r="A219" s="1"/>
      <c r="B219" s="1"/>
      <c r="C219" s="1"/>
      <c r="D219" s="1"/>
      <c r="E219" s="1"/>
    </row>
    <row r="220" ht="15.75" customHeight="1">
      <c r="A220" s="1"/>
      <c r="B220" s="1"/>
      <c r="C220" s="1"/>
      <c r="D220" s="1"/>
      <c r="E220" s="1"/>
    </row>
    <row r="221" ht="15.75" customHeight="1">
      <c r="A221" s="1"/>
      <c r="B221" s="1"/>
      <c r="C221" s="1"/>
      <c r="D221" s="1"/>
      <c r="E221" s="1"/>
    </row>
    <row r="222" ht="15.75" customHeight="1">
      <c r="A222" s="1"/>
      <c r="B222" s="1"/>
      <c r="C222" s="1"/>
      <c r="D222" s="1"/>
      <c r="E222" s="1"/>
    </row>
    <row r="223" ht="15.75" customHeight="1">
      <c r="A223" s="1"/>
      <c r="B223" s="1"/>
      <c r="C223" s="1"/>
      <c r="D223" s="1"/>
      <c r="E223" s="1"/>
    </row>
    <row r="224" ht="15.75" customHeight="1">
      <c r="A224" s="1"/>
      <c r="B224" s="1"/>
      <c r="C224" s="1"/>
      <c r="D224" s="1"/>
      <c r="E224" s="1"/>
    </row>
    <row r="225" ht="15.75" customHeight="1">
      <c r="A225" s="1"/>
      <c r="B225" s="1"/>
      <c r="C225" s="1"/>
      <c r="D225" s="1"/>
      <c r="E225" s="1"/>
    </row>
    <row r="226" ht="15.75" customHeight="1">
      <c r="A226" s="1"/>
      <c r="B226" s="1"/>
      <c r="C226" s="1"/>
      <c r="D226" s="1"/>
      <c r="E226" s="1"/>
    </row>
    <row r="227" ht="15.75" customHeight="1">
      <c r="A227" s="1"/>
      <c r="B227" s="1"/>
      <c r="C227" s="1"/>
      <c r="D227" s="1"/>
      <c r="E227" s="1"/>
    </row>
    <row r="228" ht="15.75" customHeight="1">
      <c r="A228" s="1"/>
      <c r="B228" s="1"/>
      <c r="C228" s="1"/>
      <c r="D228" s="1"/>
      <c r="E228" s="1"/>
    </row>
    <row r="229" ht="15.75" customHeight="1">
      <c r="A229" s="1"/>
      <c r="B229" s="1"/>
      <c r="C229" s="1"/>
      <c r="D229" s="1"/>
      <c r="E229" s="1"/>
    </row>
    <row r="230" ht="15.75" customHeight="1">
      <c r="A230" s="1"/>
      <c r="B230" s="1"/>
      <c r="C230" s="1"/>
      <c r="D230" s="1"/>
      <c r="E230" s="1"/>
    </row>
    <row r="231" ht="15.75" customHeight="1">
      <c r="A231" s="1"/>
      <c r="B231" s="1"/>
      <c r="C231" s="1"/>
      <c r="D231" s="1"/>
      <c r="E231" s="1"/>
    </row>
    <row r="232" ht="15.75" customHeight="1">
      <c r="A232" s="1"/>
      <c r="B232" s="1"/>
      <c r="C232" s="1"/>
      <c r="D232" s="1"/>
      <c r="E232" s="1"/>
    </row>
    <row r="233" ht="15.75" customHeight="1">
      <c r="A233" s="1"/>
      <c r="B233" s="1"/>
      <c r="C233" s="1"/>
      <c r="D233" s="1"/>
      <c r="E233" s="1"/>
    </row>
    <row r="234" ht="15.75" customHeight="1">
      <c r="A234" s="1"/>
      <c r="B234" s="1"/>
      <c r="C234" s="1"/>
      <c r="D234" s="1"/>
      <c r="E234" s="1"/>
    </row>
    <row r="235" ht="15.75" customHeight="1">
      <c r="A235" s="1"/>
      <c r="B235" s="1"/>
      <c r="C235" s="1"/>
      <c r="D235" s="1"/>
      <c r="E235" s="1"/>
    </row>
    <row r="236" ht="15.75" customHeight="1">
      <c r="A236" s="1"/>
      <c r="B236" s="1"/>
      <c r="C236" s="1"/>
      <c r="D236" s="1"/>
      <c r="E236" s="1"/>
    </row>
    <row r="237" ht="15.75" customHeight="1">
      <c r="A237" s="1"/>
      <c r="B237" s="1"/>
      <c r="C237" s="1"/>
      <c r="D237" s="1"/>
      <c r="E237" s="1"/>
    </row>
    <row r="238" ht="15.75" customHeight="1">
      <c r="A238" s="1"/>
      <c r="B238" s="1"/>
      <c r="C238" s="1"/>
      <c r="D238" s="1"/>
      <c r="E238" s="1"/>
    </row>
    <row r="239" ht="15.75" customHeight="1">
      <c r="A239" s="1"/>
      <c r="B239" s="1"/>
      <c r="C239" s="1"/>
      <c r="D239" s="1"/>
      <c r="E239" s="1"/>
    </row>
    <row r="240" ht="15.75" customHeight="1">
      <c r="A240" s="1"/>
      <c r="B240" s="1"/>
      <c r="C240" s="1"/>
      <c r="D240" s="1"/>
      <c r="E240" s="1"/>
    </row>
    <row r="241" ht="15.75" customHeight="1">
      <c r="A241" s="1"/>
      <c r="B241" s="1"/>
      <c r="C241" s="1"/>
      <c r="D241" s="1"/>
      <c r="E241" s="1"/>
    </row>
    <row r="242" ht="15.75" customHeight="1">
      <c r="A242" s="1"/>
      <c r="B242" s="1"/>
      <c r="C242" s="1"/>
      <c r="D242" s="1"/>
      <c r="E242" s="1"/>
    </row>
    <row r="243" ht="15.75" customHeight="1">
      <c r="A243" s="1"/>
      <c r="B243" s="1"/>
      <c r="C243" s="1"/>
      <c r="D243" s="1"/>
      <c r="E243" s="1"/>
    </row>
    <row r="244" ht="15.75" customHeight="1">
      <c r="A244" s="1"/>
      <c r="B244" s="1"/>
      <c r="C244" s="1"/>
      <c r="D244" s="1"/>
      <c r="E244" s="1"/>
    </row>
    <row r="245" ht="15.75" customHeight="1">
      <c r="A245" s="1"/>
      <c r="B245" s="1"/>
      <c r="C245" s="1"/>
      <c r="D245" s="1"/>
      <c r="E245" s="1"/>
    </row>
    <row r="246" ht="15.75" customHeight="1">
      <c r="A246" s="1"/>
      <c r="B246" s="1"/>
      <c r="C246" s="1"/>
      <c r="D246" s="1"/>
      <c r="E246" s="1"/>
    </row>
    <row r="247" ht="15.75" customHeight="1">
      <c r="A247" s="1"/>
      <c r="B247" s="1"/>
      <c r="C247" s="1"/>
      <c r="D247" s="1"/>
      <c r="E247" s="1"/>
    </row>
    <row r="248" ht="15.75" customHeight="1">
      <c r="A248" s="1"/>
      <c r="B248" s="1"/>
      <c r="C248" s="1"/>
      <c r="D248" s="1"/>
      <c r="E248" s="1"/>
    </row>
    <row r="249" ht="15.75" customHeight="1">
      <c r="A249" s="1"/>
      <c r="B249" s="1"/>
      <c r="C249" s="1"/>
      <c r="D249" s="1"/>
      <c r="E249" s="1"/>
    </row>
    <row r="250" ht="15.75" customHeight="1">
      <c r="A250" s="1"/>
      <c r="B250" s="1"/>
      <c r="C250" s="1"/>
      <c r="D250" s="1"/>
      <c r="E250" s="1"/>
    </row>
    <row r="251" ht="15.75" customHeight="1">
      <c r="A251" s="1"/>
      <c r="B251" s="1"/>
      <c r="C251" s="1"/>
      <c r="D251" s="1"/>
      <c r="E251" s="1"/>
    </row>
    <row r="252" ht="15.75" customHeight="1">
      <c r="A252" s="1"/>
      <c r="B252" s="1"/>
      <c r="C252" s="1"/>
      <c r="D252" s="1"/>
      <c r="E252" s="1"/>
    </row>
    <row r="253" ht="15.75" customHeight="1">
      <c r="A253" s="1"/>
      <c r="B253" s="1"/>
      <c r="C253" s="1"/>
      <c r="D253" s="1"/>
      <c r="E253" s="1"/>
    </row>
    <row r="254" ht="15.75" customHeight="1">
      <c r="A254" s="1"/>
      <c r="B254" s="1"/>
      <c r="C254" s="1"/>
      <c r="D254" s="1"/>
      <c r="E254" s="1"/>
    </row>
    <row r="255" ht="15.75" customHeight="1">
      <c r="A255" s="1"/>
      <c r="B255" s="1"/>
      <c r="C255" s="1"/>
      <c r="D255" s="1"/>
      <c r="E255" s="1"/>
    </row>
    <row r="256" ht="15.75" customHeight="1">
      <c r="A256" s="1"/>
      <c r="B256" s="1"/>
      <c r="C256" s="1"/>
      <c r="D256" s="1"/>
      <c r="E256" s="1"/>
    </row>
    <row r="257" ht="15.75" customHeight="1">
      <c r="A257" s="1"/>
      <c r="B257" s="1"/>
      <c r="C257" s="1"/>
      <c r="D257" s="1"/>
      <c r="E257" s="1"/>
    </row>
    <row r="258" ht="15.75" customHeight="1">
      <c r="A258" s="1"/>
      <c r="B258" s="1"/>
      <c r="C258" s="1"/>
      <c r="D258" s="1"/>
      <c r="E258" s="1"/>
    </row>
    <row r="259" ht="15.75" customHeight="1">
      <c r="A259" s="1"/>
      <c r="B259" s="1"/>
      <c r="C259" s="1"/>
      <c r="D259" s="1"/>
      <c r="E259" s="1"/>
    </row>
    <row r="260" ht="15.75" customHeight="1">
      <c r="A260" s="1"/>
      <c r="B260" s="1"/>
      <c r="C260" s="1"/>
      <c r="D260" s="1"/>
      <c r="E260" s="1"/>
    </row>
    <row r="261" ht="15.75" customHeight="1">
      <c r="A261" s="1"/>
      <c r="B261" s="1"/>
      <c r="C261" s="1"/>
      <c r="D261" s="1"/>
      <c r="E261" s="1"/>
    </row>
    <row r="262" ht="15.75" customHeight="1">
      <c r="A262" s="1"/>
      <c r="B262" s="1"/>
      <c r="C262" s="1"/>
      <c r="D262" s="1"/>
      <c r="E262" s="1"/>
    </row>
    <row r="263" ht="15.75" customHeight="1">
      <c r="A263" s="1"/>
      <c r="B263" s="1"/>
      <c r="C263" s="1"/>
      <c r="D263" s="1"/>
      <c r="E263" s="1"/>
    </row>
    <row r="264" ht="15.75" customHeight="1">
      <c r="A264" s="1"/>
      <c r="B264" s="1"/>
      <c r="C264" s="1"/>
      <c r="D264" s="1"/>
      <c r="E264" s="1"/>
    </row>
    <row r="265" ht="15.75" customHeight="1">
      <c r="A265" s="1"/>
      <c r="B265" s="1"/>
      <c r="C265" s="1"/>
      <c r="D265" s="1"/>
      <c r="E265" s="1"/>
    </row>
    <row r="266" ht="15.75" customHeight="1">
      <c r="A266" s="1"/>
      <c r="B266" s="1"/>
      <c r="C266" s="1"/>
      <c r="D266" s="1"/>
      <c r="E266" s="1"/>
    </row>
    <row r="267" ht="15.75" customHeight="1">
      <c r="A267" s="1"/>
      <c r="B267" s="1"/>
      <c r="C267" s="1"/>
      <c r="D267" s="1"/>
      <c r="E267" s="1"/>
    </row>
    <row r="268" ht="15.75" customHeight="1">
      <c r="A268" s="1"/>
      <c r="B268" s="1"/>
      <c r="C268" s="1"/>
      <c r="D268" s="1"/>
      <c r="E268" s="1"/>
    </row>
    <row r="269" ht="15.75" customHeight="1">
      <c r="A269" s="1"/>
      <c r="B269" s="1"/>
      <c r="C269" s="1"/>
      <c r="D269" s="1"/>
      <c r="E269" s="1"/>
    </row>
    <row r="270" ht="15.75" customHeight="1">
      <c r="A270" s="1"/>
      <c r="B270" s="1"/>
      <c r="C270" s="1"/>
      <c r="D270" s="1"/>
      <c r="E270" s="1"/>
    </row>
    <row r="271" ht="15.75" customHeight="1">
      <c r="A271" s="1"/>
      <c r="B271" s="1"/>
      <c r="C271" s="1"/>
      <c r="D271" s="1"/>
      <c r="E271" s="1"/>
    </row>
    <row r="272" ht="15.75" customHeight="1">
      <c r="A272" s="1"/>
      <c r="B272" s="1"/>
      <c r="C272" s="1"/>
      <c r="D272" s="1"/>
      <c r="E272" s="1"/>
    </row>
    <row r="273" ht="15.75" customHeight="1">
      <c r="A273" s="1"/>
      <c r="B273" s="1"/>
      <c r="C273" s="1"/>
      <c r="D273" s="1"/>
      <c r="E273" s="1"/>
    </row>
    <row r="274" ht="15.75" customHeight="1">
      <c r="A274" s="1"/>
      <c r="B274" s="1"/>
      <c r="C274" s="1"/>
      <c r="D274" s="1"/>
      <c r="E274" s="1"/>
    </row>
    <row r="275" ht="15.75" customHeight="1">
      <c r="A275" s="1"/>
      <c r="B275" s="1"/>
      <c r="C275" s="1"/>
      <c r="D275" s="1"/>
      <c r="E275" s="1"/>
    </row>
    <row r="276" ht="15.75" customHeight="1">
      <c r="A276" s="1"/>
      <c r="B276" s="1"/>
      <c r="C276" s="1"/>
      <c r="D276" s="1"/>
      <c r="E276" s="1"/>
    </row>
    <row r="277" ht="15.75" customHeight="1">
      <c r="A277" s="1"/>
      <c r="B277" s="1"/>
      <c r="C277" s="1"/>
      <c r="D277" s="1"/>
      <c r="E277" s="1"/>
    </row>
    <row r="278" ht="15.75" customHeight="1">
      <c r="A278" s="1"/>
      <c r="B278" s="1"/>
      <c r="C278" s="1"/>
      <c r="D278" s="1"/>
      <c r="E278" s="1"/>
    </row>
    <row r="279" ht="15.75" customHeight="1">
      <c r="A279" s="1"/>
      <c r="B279" s="1"/>
      <c r="C279" s="1"/>
      <c r="D279" s="1"/>
      <c r="E279" s="1"/>
    </row>
    <row r="280" ht="15.75" customHeight="1">
      <c r="A280" s="1"/>
      <c r="B280" s="1"/>
      <c r="C280" s="1"/>
      <c r="D280" s="1"/>
      <c r="E280" s="1"/>
    </row>
    <row r="281" ht="15.75" customHeight="1">
      <c r="A281" s="1"/>
      <c r="B281" s="1"/>
      <c r="C281" s="1"/>
      <c r="D281" s="1"/>
      <c r="E281" s="1"/>
    </row>
    <row r="282" ht="15.75" customHeight="1">
      <c r="A282" s="1"/>
      <c r="B282" s="1"/>
      <c r="C282" s="1"/>
      <c r="D282" s="1"/>
      <c r="E282" s="1"/>
    </row>
    <row r="283" ht="15.75" customHeight="1">
      <c r="A283" s="1"/>
      <c r="B283" s="1"/>
      <c r="C283" s="1"/>
      <c r="D283" s="1"/>
      <c r="E283" s="1"/>
    </row>
    <row r="284" ht="15.75" customHeight="1">
      <c r="A284" s="1"/>
      <c r="B284" s="1"/>
      <c r="C284" s="1"/>
      <c r="D284" s="1"/>
      <c r="E284" s="1"/>
    </row>
    <row r="285" ht="15.75" customHeight="1">
      <c r="A285" s="1"/>
      <c r="B285" s="1"/>
      <c r="C285" s="1"/>
      <c r="D285" s="1"/>
      <c r="E285" s="1"/>
    </row>
    <row r="286" ht="15.75" customHeight="1">
      <c r="A286" s="1"/>
      <c r="B286" s="1"/>
      <c r="C286" s="1"/>
      <c r="D286" s="1"/>
      <c r="E286" s="1"/>
    </row>
    <row r="287" ht="15.75" customHeight="1">
      <c r="A287" s="1"/>
      <c r="B287" s="1"/>
      <c r="C287" s="1"/>
      <c r="D287" s="1"/>
      <c r="E287" s="1"/>
    </row>
    <row r="288" ht="15.75" customHeight="1">
      <c r="A288" s="1"/>
      <c r="B288" s="1"/>
      <c r="C288" s="1"/>
      <c r="D288" s="1"/>
      <c r="E288" s="1"/>
    </row>
    <row r="289" ht="15.75" customHeight="1">
      <c r="A289" s="1"/>
      <c r="B289" s="1"/>
      <c r="C289" s="1"/>
      <c r="D289" s="1"/>
      <c r="E289" s="1"/>
    </row>
    <row r="290" ht="15.75" customHeight="1">
      <c r="A290" s="1"/>
      <c r="B290" s="1"/>
      <c r="C290" s="1"/>
      <c r="D290" s="1"/>
      <c r="E290" s="1"/>
    </row>
    <row r="291" ht="15.75" customHeight="1">
      <c r="A291" s="1"/>
      <c r="B291" s="1"/>
      <c r="C291" s="1"/>
      <c r="D291" s="1"/>
      <c r="E291" s="1"/>
    </row>
    <row r="292" ht="15.75" customHeight="1">
      <c r="A292" s="1"/>
      <c r="B292" s="1"/>
      <c r="C292" s="1"/>
      <c r="D292" s="1"/>
      <c r="E292" s="1"/>
    </row>
    <row r="293" ht="15.75" customHeight="1">
      <c r="A293" s="1"/>
      <c r="B293" s="1"/>
      <c r="C293" s="1"/>
      <c r="D293" s="1"/>
      <c r="E293" s="1"/>
    </row>
    <row r="294" ht="15.75" customHeight="1">
      <c r="A294" s="1"/>
      <c r="B294" s="1"/>
      <c r="C294" s="1"/>
      <c r="D294" s="1"/>
      <c r="E294" s="1"/>
    </row>
    <row r="295" ht="15.75" customHeight="1">
      <c r="A295" s="1"/>
      <c r="B295" s="1"/>
      <c r="C295" s="1"/>
      <c r="D295" s="1"/>
      <c r="E295" s="1"/>
    </row>
    <row r="296" ht="15.75" customHeight="1">
      <c r="A296" s="1"/>
      <c r="B296" s="1"/>
      <c r="C296" s="1"/>
      <c r="D296" s="1"/>
      <c r="E296" s="1"/>
    </row>
    <row r="297" ht="15.75" customHeight="1">
      <c r="A297" s="1"/>
      <c r="B297" s="1"/>
      <c r="C297" s="1"/>
      <c r="D297" s="1"/>
      <c r="E297" s="1"/>
    </row>
    <row r="298" ht="15.75" customHeight="1">
      <c r="A298" s="1"/>
      <c r="B298" s="1"/>
      <c r="C298" s="1"/>
      <c r="D298" s="1"/>
      <c r="E298" s="1"/>
    </row>
    <row r="299" ht="15.75" customHeight="1">
      <c r="A299" s="1"/>
      <c r="B299" s="1"/>
      <c r="C299" s="1"/>
      <c r="D299" s="1"/>
      <c r="E299" s="1"/>
    </row>
    <row r="300" ht="15.75" customHeight="1">
      <c r="A300" s="1"/>
      <c r="B300" s="1"/>
      <c r="C300" s="1"/>
      <c r="D300" s="1"/>
      <c r="E300" s="1"/>
    </row>
    <row r="301" ht="15.75" customHeight="1">
      <c r="A301" s="1"/>
      <c r="B301" s="1"/>
      <c r="C301" s="1"/>
      <c r="D301" s="1"/>
      <c r="E301" s="1"/>
    </row>
    <row r="302" ht="15.75" customHeight="1">
      <c r="A302" s="1"/>
      <c r="B302" s="1"/>
      <c r="C302" s="1"/>
      <c r="D302" s="1"/>
      <c r="E302" s="1"/>
    </row>
    <row r="303" ht="15.75" customHeight="1">
      <c r="A303" s="1"/>
      <c r="B303" s="1"/>
      <c r="C303" s="1"/>
      <c r="D303" s="1"/>
      <c r="E303" s="1"/>
    </row>
    <row r="304" ht="15.75" customHeight="1">
      <c r="A304" s="1"/>
      <c r="B304" s="1"/>
      <c r="C304" s="1"/>
      <c r="D304" s="1"/>
      <c r="E304" s="1"/>
    </row>
    <row r="305" ht="15.75" customHeight="1">
      <c r="A305" s="1"/>
      <c r="B305" s="1"/>
      <c r="C305" s="1"/>
      <c r="D305" s="1"/>
      <c r="E305" s="1"/>
    </row>
    <row r="306" ht="15.75" customHeight="1">
      <c r="A306" s="1"/>
      <c r="B306" s="1"/>
      <c r="C306" s="1"/>
      <c r="D306" s="1"/>
      <c r="E306" s="1"/>
    </row>
    <row r="307" ht="15.75" customHeight="1">
      <c r="A307" s="1"/>
      <c r="B307" s="1"/>
      <c r="C307" s="1"/>
      <c r="D307" s="1"/>
      <c r="E307" s="1"/>
    </row>
    <row r="308" ht="15.75" customHeight="1">
      <c r="A308" s="1"/>
      <c r="B308" s="1"/>
      <c r="C308" s="1"/>
      <c r="D308" s="1"/>
      <c r="E308" s="1"/>
    </row>
    <row r="309" ht="15.75" customHeight="1">
      <c r="A309" s="1"/>
      <c r="B309" s="1"/>
      <c r="C309" s="1"/>
      <c r="D309" s="1"/>
      <c r="E309" s="1"/>
    </row>
    <row r="310" ht="15.75" customHeight="1">
      <c r="A310" s="1"/>
      <c r="B310" s="1"/>
      <c r="C310" s="1"/>
      <c r="D310" s="1"/>
      <c r="E310" s="1"/>
    </row>
    <row r="311" ht="15.75" customHeight="1">
      <c r="A311" s="1"/>
      <c r="B311" s="1"/>
      <c r="C311" s="1"/>
      <c r="D311" s="1"/>
      <c r="E311" s="1"/>
    </row>
    <row r="312" ht="15.75" customHeight="1">
      <c r="A312" s="1"/>
      <c r="B312" s="1"/>
      <c r="C312" s="1"/>
      <c r="D312" s="1"/>
      <c r="E312" s="1"/>
    </row>
    <row r="313" ht="15.75" customHeight="1">
      <c r="A313" s="1"/>
      <c r="B313" s="1"/>
      <c r="C313" s="1"/>
      <c r="D313" s="1"/>
      <c r="E313" s="1"/>
    </row>
    <row r="314" ht="15.75" customHeight="1">
      <c r="A314" s="1"/>
      <c r="B314" s="1"/>
      <c r="C314" s="1"/>
      <c r="D314" s="1"/>
      <c r="E314" s="1"/>
    </row>
    <row r="315" ht="15.75" customHeight="1">
      <c r="A315" s="1"/>
      <c r="B315" s="1"/>
      <c r="C315" s="1"/>
      <c r="D315" s="1"/>
      <c r="E315" s="1"/>
    </row>
    <row r="316" ht="15.75" customHeight="1">
      <c r="A316" s="1"/>
      <c r="B316" s="1"/>
      <c r="C316" s="1"/>
      <c r="D316" s="1"/>
      <c r="E316" s="1"/>
    </row>
    <row r="317" ht="15.75" customHeight="1">
      <c r="A317" s="1"/>
      <c r="B317" s="1"/>
      <c r="C317" s="1"/>
      <c r="D317" s="1"/>
      <c r="E317" s="1"/>
    </row>
    <row r="318" ht="15.75" customHeight="1">
      <c r="A318" s="1"/>
      <c r="B318" s="1"/>
      <c r="C318" s="1"/>
      <c r="D318" s="1"/>
      <c r="E318" s="1"/>
    </row>
    <row r="319" ht="15.75" customHeight="1">
      <c r="A319" s="1"/>
      <c r="B319" s="1"/>
      <c r="C319" s="1"/>
      <c r="D319" s="1"/>
      <c r="E319" s="1"/>
    </row>
    <row r="320" ht="15.75" customHeight="1">
      <c r="A320" s="1"/>
      <c r="B320" s="1"/>
      <c r="C320" s="1"/>
      <c r="D320" s="1"/>
      <c r="E320" s="1"/>
    </row>
    <row r="321" ht="15.75" customHeight="1">
      <c r="A321" s="1"/>
      <c r="B321" s="1"/>
      <c r="C321" s="1"/>
      <c r="D321" s="1"/>
      <c r="E321" s="1"/>
    </row>
    <row r="322" ht="15.75" customHeight="1">
      <c r="A322" s="1"/>
      <c r="B322" s="1"/>
      <c r="C322" s="1"/>
      <c r="D322" s="1"/>
      <c r="E322" s="1"/>
    </row>
    <row r="323" ht="15.75" customHeight="1">
      <c r="A323" s="1"/>
      <c r="B323" s="1"/>
      <c r="C323" s="1"/>
      <c r="D323" s="1"/>
      <c r="E323" s="1"/>
    </row>
    <row r="324" ht="15.75" customHeight="1">
      <c r="A324" s="1"/>
      <c r="B324" s="1"/>
      <c r="C324" s="1"/>
      <c r="D324" s="1"/>
      <c r="E324" s="1"/>
    </row>
    <row r="325" ht="15.75" customHeight="1">
      <c r="A325" s="1"/>
      <c r="B325" s="1"/>
      <c r="C325" s="1"/>
      <c r="D325" s="1"/>
      <c r="E325" s="1"/>
    </row>
    <row r="326" ht="15.75" customHeight="1">
      <c r="A326" s="1"/>
      <c r="B326" s="1"/>
      <c r="C326" s="1"/>
      <c r="D326" s="1"/>
      <c r="E326" s="1"/>
    </row>
    <row r="327" ht="15.75" customHeight="1">
      <c r="A327" s="1"/>
      <c r="B327" s="1"/>
      <c r="C327" s="1"/>
      <c r="D327" s="1"/>
      <c r="E327" s="1"/>
    </row>
    <row r="328" ht="15.75" customHeight="1">
      <c r="A328" s="1"/>
      <c r="B328" s="1"/>
      <c r="C328" s="1"/>
      <c r="D328" s="1"/>
      <c r="E328" s="1"/>
    </row>
    <row r="329" ht="15.75" customHeight="1">
      <c r="A329" s="1"/>
      <c r="B329" s="1"/>
      <c r="C329" s="1"/>
      <c r="D329" s="1"/>
      <c r="E329" s="1"/>
    </row>
    <row r="330" ht="15.75" customHeight="1">
      <c r="A330" s="1"/>
      <c r="B330" s="1"/>
      <c r="C330" s="1"/>
      <c r="D330" s="1"/>
      <c r="E330" s="1"/>
    </row>
    <row r="331" ht="15.75" customHeight="1">
      <c r="A331" s="1"/>
      <c r="B331" s="1"/>
      <c r="C331" s="1"/>
      <c r="D331" s="1"/>
      <c r="E331" s="1"/>
    </row>
    <row r="332" ht="15.75" customHeight="1">
      <c r="A332" s="1"/>
      <c r="B332" s="1"/>
      <c r="C332" s="1"/>
      <c r="D332" s="1"/>
      <c r="E332" s="1"/>
    </row>
    <row r="333" ht="15.75" customHeight="1">
      <c r="A333" s="1"/>
      <c r="B333" s="1"/>
      <c r="C333" s="1"/>
      <c r="D333" s="1"/>
      <c r="E333" s="1"/>
    </row>
    <row r="334" ht="15.75" customHeight="1">
      <c r="A334" s="1"/>
      <c r="B334" s="1"/>
      <c r="C334" s="1"/>
      <c r="D334" s="1"/>
      <c r="E334" s="1"/>
    </row>
    <row r="335" ht="15.75" customHeight="1">
      <c r="A335" s="1"/>
      <c r="B335" s="1"/>
      <c r="C335" s="1"/>
      <c r="D335" s="1"/>
      <c r="E335" s="1"/>
    </row>
    <row r="336" ht="15.75" customHeight="1">
      <c r="A336" s="1"/>
      <c r="B336" s="1"/>
      <c r="C336" s="1"/>
      <c r="D336" s="1"/>
      <c r="E336" s="1"/>
    </row>
    <row r="337" ht="15.75" customHeight="1">
      <c r="A337" s="1"/>
      <c r="B337" s="1"/>
      <c r="C337" s="1"/>
      <c r="D337" s="1"/>
      <c r="E337" s="1"/>
    </row>
    <row r="338" ht="15.75" customHeight="1">
      <c r="A338" s="1"/>
      <c r="B338" s="1"/>
      <c r="C338" s="1"/>
      <c r="D338" s="1"/>
      <c r="E338" s="1"/>
    </row>
    <row r="339" ht="15.75" customHeight="1">
      <c r="A339" s="1"/>
      <c r="B339" s="1"/>
      <c r="C339" s="1"/>
      <c r="D339" s="1"/>
      <c r="E339" s="1"/>
    </row>
    <row r="340" ht="15.75" customHeight="1">
      <c r="A340" s="1"/>
      <c r="B340" s="1"/>
      <c r="C340" s="1"/>
      <c r="D340" s="1"/>
      <c r="E340" s="1"/>
    </row>
    <row r="341" ht="15.75" customHeight="1">
      <c r="A341" s="1"/>
      <c r="B341" s="1"/>
      <c r="C341" s="1"/>
      <c r="D341" s="1"/>
      <c r="E341" s="1"/>
    </row>
    <row r="342" ht="15.75" customHeight="1">
      <c r="A342" s="1"/>
      <c r="B342" s="1"/>
      <c r="C342" s="1"/>
      <c r="D342" s="1"/>
      <c r="E342" s="1"/>
    </row>
    <row r="343" ht="15.75" customHeight="1">
      <c r="A343" s="1"/>
      <c r="B343" s="1"/>
      <c r="C343" s="1"/>
      <c r="D343" s="1"/>
      <c r="E343" s="1"/>
    </row>
    <row r="344" ht="15.75" customHeight="1">
      <c r="A344" s="1"/>
      <c r="B344" s="1"/>
      <c r="C344" s="1"/>
      <c r="D344" s="1"/>
      <c r="E344" s="1"/>
    </row>
    <row r="345" ht="15.75" customHeight="1">
      <c r="A345" s="1"/>
      <c r="B345" s="1"/>
      <c r="C345" s="1"/>
      <c r="D345" s="1"/>
      <c r="E345" s="1"/>
    </row>
    <row r="346" ht="15.75" customHeight="1">
      <c r="A346" s="1"/>
      <c r="B346" s="1"/>
      <c r="C346" s="1"/>
      <c r="D346" s="1"/>
      <c r="E346" s="1"/>
    </row>
    <row r="347" ht="15.75" customHeight="1">
      <c r="A347" s="1"/>
      <c r="B347" s="1"/>
      <c r="C347" s="1"/>
      <c r="D347" s="1"/>
      <c r="E347" s="1"/>
    </row>
    <row r="348" ht="15.75" customHeight="1">
      <c r="A348" s="1"/>
      <c r="B348" s="1"/>
      <c r="C348" s="1"/>
      <c r="D348" s="1"/>
      <c r="E348" s="1"/>
    </row>
    <row r="349" ht="15.75" customHeight="1">
      <c r="A349" s="1"/>
      <c r="B349" s="1"/>
      <c r="C349" s="1"/>
      <c r="D349" s="1"/>
      <c r="E349" s="1"/>
    </row>
    <row r="350" ht="15.75" customHeight="1">
      <c r="A350" s="1"/>
      <c r="B350" s="1"/>
      <c r="C350" s="1"/>
      <c r="D350" s="1"/>
      <c r="E350" s="1"/>
    </row>
    <row r="351" ht="15.75" customHeight="1">
      <c r="A351" s="1"/>
      <c r="B351" s="1"/>
      <c r="C351" s="1"/>
      <c r="D351" s="1"/>
      <c r="E351" s="1"/>
    </row>
    <row r="352" ht="15.75" customHeight="1">
      <c r="A352" s="1"/>
      <c r="B352" s="1"/>
      <c r="C352" s="1"/>
      <c r="D352" s="1"/>
      <c r="E352" s="1"/>
    </row>
    <row r="353" ht="15.75" customHeight="1">
      <c r="A353" s="1"/>
      <c r="B353" s="1"/>
      <c r="C353" s="1"/>
      <c r="D353" s="1"/>
      <c r="E353" s="1"/>
    </row>
    <row r="354" ht="15.75" customHeight="1">
      <c r="A354" s="1"/>
      <c r="B354" s="1"/>
      <c r="C354" s="1"/>
      <c r="D354" s="1"/>
      <c r="E354" s="1"/>
    </row>
    <row r="355" ht="15.75" customHeight="1">
      <c r="A355" s="1"/>
      <c r="B355" s="1"/>
      <c r="C355" s="1"/>
      <c r="D355" s="1"/>
      <c r="E355" s="1"/>
    </row>
    <row r="356" ht="15.75" customHeight="1">
      <c r="A356" s="1"/>
      <c r="B356" s="1"/>
      <c r="C356" s="1"/>
      <c r="D356" s="1"/>
      <c r="E356" s="1"/>
    </row>
    <row r="357" ht="15.75" customHeight="1">
      <c r="A357" s="1"/>
      <c r="B357" s="1"/>
      <c r="C357" s="1"/>
      <c r="D357" s="1"/>
      <c r="E357" s="1"/>
    </row>
    <row r="358" ht="15.75" customHeight="1">
      <c r="A358" s="1"/>
      <c r="B358" s="1"/>
      <c r="C358" s="1"/>
      <c r="D358" s="1"/>
      <c r="E358" s="1"/>
    </row>
    <row r="359" ht="15.75" customHeight="1">
      <c r="A359" s="1"/>
      <c r="B359" s="1"/>
      <c r="C359" s="1"/>
      <c r="D359" s="1"/>
      <c r="E359" s="1"/>
    </row>
    <row r="360" ht="15.75" customHeight="1">
      <c r="A360" s="1"/>
      <c r="B360" s="1"/>
      <c r="C360" s="1"/>
      <c r="D360" s="1"/>
      <c r="E360" s="1"/>
    </row>
    <row r="361" ht="15.75" customHeight="1">
      <c r="A361" s="1"/>
      <c r="B361" s="1"/>
      <c r="C361" s="1"/>
      <c r="D361" s="1"/>
      <c r="E361" s="1"/>
    </row>
    <row r="362" ht="15.75" customHeight="1">
      <c r="A362" s="1"/>
      <c r="B362" s="1"/>
      <c r="C362" s="1"/>
      <c r="D362" s="1"/>
      <c r="E362" s="1"/>
    </row>
    <row r="363" ht="15.75" customHeight="1">
      <c r="A363" s="1"/>
      <c r="B363" s="1"/>
      <c r="C363" s="1"/>
      <c r="D363" s="1"/>
      <c r="E363" s="1"/>
    </row>
    <row r="364" ht="15.75" customHeight="1">
      <c r="A364" s="1"/>
      <c r="B364" s="1"/>
      <c r="C364" s="1"/>
      <c r="D364" s="1"/>
      <c r="E364" s="1"/>
    </row>
    <row r="365" ht="15.75" customHeight="1">
      <c r="A365" s="1"/>
      <c r="B365" s="1"/>
      <c r="C365" s="1"/>
      <c r="D365" s="1"/>
      <c r="E365" s="1"/>
    </row>
    <row r="366" ht="15.75" customHeight="1">
      <c r="A366" s="1"/>
      <c r="B366" s="1"/>
      <c r="C366" s="1"/>
      <c r="D366" s="1"/>
      <c r="E366" s="1"/>
    </row>
    <row r="367" ht="15.75" customHeight="1">
      <c r="A367" s="1"/>
      <c r="B367" s="1"/>
      <c r="C367" s="1"/>
      <c r="D367" s="1"/>
      <c r="E367" s="1"/>
    </row>
    <row r="368" ht="15.75" customHeight="1">
      <c r="A368" s="1"/>
      <c r="B368" s="1"/>
      <c r="C368" s="1"/>
      <c r="D368" s="1"/>
      <c r="E368" s="1"/>
    </row>
    <row r="369" ht="15.75" customHeight="1">
      <c r="A369" s="1"/>
      <c r="B369" s="1"/>
      <c r="C369" s="1"/>
      <c r="D369" s="1"/>
      <c r="E369" s="1"/>
    </row>
    <row r="370" ht="15.75" customHeight="1">
      <c r="A370" s="1"/>
      <c r="B370" s="1"/>
      <c r="C370" s="1"/>
      <c r="D370" s="1"/>
      <c r="E370" s="1"/>
    </row>
    <row r="371" ht="15.75" customHeight="1">
      <c r="A371" s="1"/>
      <c r="B371" s="1"/>
      <c r="C371" s="1"/>
      <c r="D371" s="1"/>
      <c r="E371" s="1"/>
    </row>
    <row r="372" ht="15.75" customHeight="1">
      <c r="A372" s="1"/>
      <c r="B372" s="1"/>
      <c r="C372" s="1"/>
      <c r="D372" s="1"/>
      <c r="E372" s="1"/>
    </row>
    <row r="373" ht="15.75" customHeight="1">
      <c r="A373" s="1"/>
      <c r="B373" s="1"/>
      <c r="C373" s="1"/>
      <c r="D373" s="1"/>
      <c r="E373" s="1"/>
    </row>
    <row r="374" ht="15.75" customHeight="1">
      <c r="A374" s="1"/>
      <c r="B374" s="1"/>
      <c r="C374" s="1"/>
      <c r="D374" s="1"/>
      <c r="E374" s="1"/>
    </row>
    <row r="375" ht="15.75" customHeight="1">
      <c r="A375" s="1"/>
      <c r="B375" s="1"/>
      <c r="C375" s="1"/>
      <c r="D375" s="1"/>
      <c r="E375" s="1"/>
    </row>
    <row r="376" ht="15.75" customHeight="1">
      <c r="A376" s="1"/>
      <c r="B376" s="1"/>
      <c r="C376" s="1"/>
      <c r="D376" s="1"/>
      <c r="E376" s="1"/>
    </row>
    <row r="377" ht="15.75" customHeight="1">
      <c r="A377" s="1"/>
      <c r="B377" s="1"/>
      <c r="C377" s="1"/>
      <c r="D377" s="1"/>
      <c r="E377" s="1"/>
    </row>
    <row r="378" ht="15.75" customHeight="1">
      <c r="A378" s="1"/>
      <c r="B378" s="1"/>
      <c r="C378" s="1"/>
      <c r="D378" s="1"/>
      <c r="E378" s="1"/>
    </row>
    <row r="379" ht="15.75" customHeight="1">
      <c r="A379" s="1"/>
      <c r="B379" s="1"/>
      <c r="C379" s="1"/>
      <c r="D379" s="1"/>
      <c r="E379" s="1"/>
    </row>
    <row r="380" ht="15.75" customHeight="1">
      <c r="A380" s="1"/>
      <c r="B380" s="1"/>
      <c r="C380" s="1"/>
      <c r="D380" s="1"/>
      <c r="E380" s="1"/>
    </row>
    <row r="381" ht="15.75" customHeight="1">
      <c r="A381" s="1"/>
      <c r="B381" s="1"/>
      <c r="C381" s="1"/>
      <c r="D381" s="1"/>
      <c r="E381" s="1"/>
    </row>
    <row r="382" ht="15.75" customHeight="1">
      <c r="A382" s="1"/>
      <c r="B382" s="1"/>
      <c r="C382" s="1"/>
      <c r="D382" s="1"/>
      <c r="E382" s="1"/>
    </row>
    <row r="383" ht="15.75" customHeight="1">
      <c r="A383" s="1"/>
      <c r="B383" s="1"/>
      <c r="C383" s="1"/>
      <c r="D383" s="1"/>
      <c r="E383" s="1"/>
    </row>
    <row r="384" ht="15.75" customHeight="1">
      <c r="A384" s="1"/>
      <c r="B384" s="1"/>
      <c r="C384" s="1"/>
      <c r="D384" s="1"/>
      <c r="E384" s="1"/>
    </row>
    <row r="385" ht="15.75" customHeight="1">
      <c r="A385" s="1"/>
      <c r="B385" s="1"/>
      <c r="C385" s="1"/>
      <c r="D385" s="1"/>
      <c r="E385" s="1"/>
    </row>
    <row r="386" ht="15.75" customHeight="1">
      <c r="A386" s="1"/>
      <c r="B386" s="1"/>
      <c r="C386" s="1"/>
      <c r="D386" s="1"/>
      <c r="E386" s="1"/>
    </row>
    <row r="387" ht="15.75" customHeight="1">
      <c r="A387" s="1"/>
      <c r="B387" s="1"/>
      <c r="C387" s="1"/>
      <c r="D387" s="1"/>
      <c r="E387" s="1"/>
    </row>
    <row r="388" ht="15.75" customHeight="1">
      <c r="A388" s="1"/>
      <c r="B388" s="1"/>
      <c r="C388" s="1"/>
      <c r="D388" s="1"/>
      <c r="E388" s="1"/>
    </row>
    <row r="389" ht="15.75" customHeight="1">
      <c r="A389" s="1"/>
      <c r="B389" s="1"/>
      <c r="C389" s="1"/>
      <c r="D389" s="1"/>
      <c r="E389" s="1"/>
    </row>
    <row r="390" ht="15.75" customHeight="1">
      <c r="A390" s="1"/>
      <c r="B390" s="1"/>
      <c r="C390" s="1"/>
      <c r="D390" s="1"/>
      <c r="E390" s="1"/>
    </row>
    <row r="391" ht="15.75" customHeight="1">
      <c r="A391" s="1"/>
      <c r="B391" s="1"/>
      <c r="C391" s="1"/>
      <c r="D391" s="1"/>
      <c r="E391" s="1"/>
    </row>
    <row r="392" ht="15.75" customHeight="1">
      <c r="A392" s="1"/>
      <c r="B392" s="1"/>
      <c r="C392" s="1"/>
      <c r="D392" s="1"/>
      <c r="E392" s="1"/>
    </row>
    <row r="393" ht="15.75" customHeight="1">
      <c r="A393" s="1"/>
      <c r="B393" s="1"/>
      <c r="C393" s="1"/>
      <c r="D393" s="1"/>
      <c r="E393" s="1"/>
    </row>
    <row r="394" ht="15.75" customHeight="1">
      <c r="A394" s="1"/>
      <c r="B394" s="1"/>
      <c r="C394" s="1"/>
      <c r="D394" s="1"/>
      <c r="E394" s="1"/>
    </row>
    <row r="395" ht="15.75" customHeight="1">
      <c r="A395" s="1"/>
      <c r="B395" s="1"/>
      <c r="C395" s="1"/>
      <c r="D395" s="1"/>
      <c r="E395" s="1"/>
    </row>
    <row r="396" ht="15.75" customHeight="1">
      <c r="A396" s="1"/>
      <c r="B396" s="1"/>
      <c r="C396" s="1"/>
      <c r="D396" s="1"/>
      <c r="E396" s="1"/>
    </row>
    <row r="397" ht="15.75" customHeight="1">
      <c r="A397" s="1"/>
      <c r="B397" s="1"/>
      <c r="C397" s="1"/>
      <c r="D397" s="1"/>
      <c r="E397" s="1"/>
    </row>
    <row r="398" ht="15.75" customHeight="1">
      <c r="A398" s="1"/>
      <c r="B398" s="1"/>
      <c r="C398" s="1"/>
      <c r="D398" s="1"/>
      <c r="E398" s="1"/>
    </row>
    <row r="399" ht="15.75" customHeight="1">
      <c r="A399" s="1"/>
      <c r="B399" s="1"/>
      <c r="C399" s="1"/>
      <c r="D399" s="1"/>
      <c r="E399" s="1"/>
    </row>
    <row r="400" ht="15.75" customHeight="1">
      <c r="A400" s="1"/>
      <c r="B400" s="1"/>
      <c r="C400" s="1"/>
      <c r="D400" s="1"/>
      <c r="E400" s="1"/>
    </row>
    <row r="401" ht="15.75" customHeight="1">
      <c r="A401" s="1"/>
      <c r="B401" s="1"/>
      <c r="C401" s="1"/>
      <c r="D401" s="1"/>
      <c r="E401" s="1"/>
    </row>
    <row r="402" ht="15.75" customHeight="1">
      <c r="A402" s="1"/>
      <c r="B402" s="1"/>
      <c r="C402" s="1"/>
      <c r="D402" s="1"/>
      <c r="E402" s="1"/>
    </row>
    <row r="403" ht="15.75" customHeight="1">
      <c r="A403" s="1"/>
      <c r="B403" s="1"/>
      <c r="C403" s="1"/>
      <c r="D403" s="1"/>
      <c r="E403" s="1"/>
    </row>
    <row r="404" ht="15.75" customHeight="1">
      <c r="A404" s="1"/>
      <c r="B404" s="1"/>
      <c r="C404" s="1"/>
      <c r="D404" s="1"/>
      <c r="E404" s="1"/>
    </row>
    <row r="405" ht="15.75" customHeight="1">
      <c r="A405" s="1"/>
      <c r="B405" s="1"/>
      <c r="C405" s="1"/>
      <c r="D405" s="1"/>
      <c r="E405" s="1"/>
    </row>
    <row r="406" ht="15.75" customHeight="1">
      <c r="A406" s="1"/>
      <c r="B406" s="1"/>
      <c r="C406" s="1"/>
      <c r="D406" s="1"/>
      <c r="E406" s="1"/>
    </row>
    <row r="407" ht="15.75" customHeight="1">
      <c r="A407" s="1"/>
      <c r="B407" s="1"/>
      <c r="C407" s="1"/>
      <c r="D407" s="1"/>
      <c r="E407" s="1"/>
    </row>
    <row r="408" ht="15.75" customHeight="1">
      <c r="A408" s="1"/>
      <c r="B408" s="1"/>
      <c r="C408" s="1"/>
      <c r="D408" s="1"/>
      <c r="E408" s="1"/>
    </row>
    <row r="409" ht="15.75" customHeight="1">
      <c r="A409" s="1"/>
      <c r="B409" s="1"/>
      <c r="C409" s="1"/>
      <c r="D409" s="1"/>
      <c r="E409" s="1"/>
    </row>
    <row r="410" ht="15.75" customHeight="1">
      <c r="A410" s="1"/>
      <c r="B410" s="1"/>
      <c r="C410" s="1"/>
      <c r="D410" s="1"/>
      <c r="E410" s="1"/>
    </row>
    <row r="411" ht="15.75" customHeight="1">
      <c r="A411" s="1"/>
      <c r="B411" s="1"/>
      <c r="C411" s="1"/>
      <c r="D411" s="1"/>
      <c r="E411" s="1"/>
    </row>
    <row r="412" ht="15.75" customHeight="1">
      <c r="A412" s="1"/>
      <c r="B412" s="1"/>
      <c r="C412" s="1"/>
      <c r="D412" s="1"/>
      <c r="E412" s="1"/>
    </row>
    <row r="413" ht="15.75" customHeight="1">
      <c r="A413" s="1"/>
      <c r="B413" s="1"/>
      <c r="C413" s="1"/>
      <c r="D413" s="1"/>
      <c r="E413" s="1"/>
    </row>
    <row r="414" ht="15.75" customHeight="1">
      <c r="A414" s="1"/>
      <c r="B414" s="1"/>
      <c r="C414" s="1"/>
      <c r="D414" s="1"/>
      <c r="E414" s="1"/>
    </row>
    <row r="415" ht="15.75" customHeight="1">
      <c r="A415" s="1"/>
      <c r="B415" s="1"/>
      <c r="C415" s="1"/>
      <c r="D415" s="1"/>
      <c r="E415" s="1"/>
    </row>
    <row r="416" ht="15.75" customHeight="1">
      <c r="A416" s="1"/>
      <c r="B416" s="1"/>
      <c r="C416" s="1"/>
      <c r="D416" s="1"/>
      <c r="E416" s="1"/>
    </row>
    <row r="417" ht="15.75" customHeight="1">
      <c r="A417" s="1"/>
      <c r="B417" s="1"/>
      <c r="C417" s="1"/>
      <c r="D417" s="1"/>
      <c r="E417" s="1"/>
    </row>
    <row r="418" ht="15.75" customHeight="1">
      <c r="A418" s="1"/>
      <c r="B418" s="1"/>
      <c r="C418" s="1"/>
      <c r="D418" s="1"/>
      <c r="E418" s="1"/>
    </row>
    <row r="419" ht="15.75" customHeight="1">
      <c r="A419" s="1"/>
      <c r="B419" s="1"/>
      <c r="C419" s="1"/>
      <c r="D419" s="1"/>
      <c r="E419" s="1"/>
    </row>
    <row r="420" ht="15.75" customHeight="1">
      <c r="A420" s="1"/>
      <c r="B420" s="1"/>
      <c r="C420" s="1"/>
      <c r="D420" s="1"/>
      <c r="E420" s="1"/>
    </row>
    <row r="421" ht="15.75" customHeight="1">
      <c r="A421" s="1"/>
      <c r="B421" s="1"/>
      <c r="C421" s="1"/>
      <c r="D421" s="1"/>
      <c r="E421" s="1"/>
    </row>
    <row r="422" ht="15.75" customHeight="1">
      <c r="A422" s="1"/>
      <c r="B422" s="1"/>
      <c r="C422" s="1"/>
      <c r="D422" s="1"/>
      <c r="E422" s="1"/>
    </row>
    <row r="423" ht="15.75" customHeight="1">
      <c r="A423" s="1"/>
      <c r="B423" s="1"/>
      <c r="C423" s="1"/>
      <c r="D423" s="1"/>
      <c r="E423" s="1"/>
    </row>
    <row r="424" ht="15.75" customHeight="1">
      <c r="A424" s="1"/>
      <c r="B424" s="1"/>
      <c r="C424" s="1"/>
      <c r="D424" s="1"/>
      <c r="E424" s="1"/>
    </row>
    <row r="425" ht="15.75" customHeight="1">
      <c r="A425" s="1"/>
      <c r="B425" s="1"/>
      <c r="C425" s="1"/>
      <c r="D425" s="1"/>
      <c r="E425" s="1"/>
    </row>
    <row r="426" ht="15.75" customHeight="1">
      <c r="A426" s="1"/>
      <c r="B426" s="1"/>
      <c r="C426" s="1"/>
      <c r="D426" s="1"/>
      <c r="E426" s="1"/>
    </row>
    <row r="427" ht="15.75" customHeight="1">
      <c r="A427" s="1"/>
      <c r="B427" s="1"/>
      <c r="C427" s="1"/>
      <c r="D427" s="1"/>
      <c r="E427" s="1"/>
    </row>
    <row r="428" ht="15.75" customHeight="1">
      <c r="A428" s="1"/>
      <c r="B428" s="1"/>
      <c r="C428" s="1"/>
      <c r="D428" s="1"/>
      <c r="E428" s="1"/>
    </row>
    <row r="429" ht="15.75" customHeight="1">
      <c r="A429" s="1"/>
      <c r="B429" s="1"/>
      <c r="C429" s="1"/>
      <c r="D429" s="1"/>
      <c r="E429" s="1"/>
    </row>
    <row r="430" ht="15.75" customHeight="1">
      <c r="A430" s="1"/>
      <c r="B430" s="1"/>
      <c r="C430" s="1"/>
      <c r="D430" s="1"/>
      <c r="E430" s="1"/>
    </row>
    <row r="431" ht="15.75" customHeight="1">
      <c r="A431" s="1"/>
      <c r="B431" s="1"/>
      <c r="C431" s="1"/>
      <c r="D431" s="1"/>
      <c r="E431" s="1"/>
    </row>
    <row r="432" ht="15.75" customHeight="1">
      <c r="A432" s="1"/>
      <c r="B432" s="1"/>
      <c r="C432" s="1"/>
      <c r="D432" s="1"/>
      <c r="E432" s="1"/>
    </row>
    <row r="433" ht="15.75" customHeight="1">
      <c r="A433" s="1"/>
      <c r="B433" s="1"/>
      <c r="C433" s="1"/>
      <c r="D433" s="1"/>
      <c r="E433" s="1"/>
    </row>
    <row r="434" ht="15.75" customHeight="1">
      <c r="A434" s="1"/>
      <c r="B434" s="1"/>
      <c r="C434" s="1"/>
      <c r="D434" s="1"/>
      <c r="E434" s="1"/>
    </row>
    <row r="435" ht="15.75" customHeight="1">
      <c r="A435" s="1"/>
      <c r="B435" s="1"/>
      <c r="C435" s="1"/>
      <c r="D435" s="1"/>
      <c r="E435" s="1"/>
    </row>
    <row r="436" ht="15.75" customHeight="1">
      <c r="A436" s="1"/>
      <c r="B436" s="1"/>
      <c r="C436" s="1"/>
      <c r="D436" s="1"/>
      <c r="E436" s="1"/>
    </row>
    <row r="437" ht="15.75" customHeight="1">
      <c r="A437" s="1"/>
      <c r="B437" s="1"/>
      <c r="C437" s="1"/>
      <c r="D437" s="1"/>
      <c r="E437" s="1"/>
    </row>
    <row r="438" ht="15.75" customHeight="1">
      <c r="A438" s="1"/>
      <c r="B438" s="1"/>
      <c r="C438" s="1"/>
      <c r="D438" s="1"/>
      <c r="E438" s="1"/>
    </row>
    <row r="439" ht="15.75" customHeight="1">
      <c r="A439" s="1"/>
      <c r="B439" s="1"/>
      <c r="C439" s="1"/>
      <c r="D439" s="1"/>
      <c r="E439" s="1"/>
    </row>
    <row r="440" ht="15.75" customHeight="1">
      <c r="A440" s="1"/>
      <c r="B440" s="1"/>
      <c r="C440" s="1"/>
      <c r="D440" s="1"/>
      <c r="E440" s="1"/>
    </row>
    <row r="441" ht="15.75" customHeight="1">
      <c r="A441" s="1"/>
      <c r="B441" s="1"/>
      <c r="C441" s="1"/>
      <c r="D441" s="1"/>
      <c r="E441" s="1"/>
    </row>
    <row r="442" ht="15.75" customHeight="1">
      <c r="A442" s="1"/>
      <c r="B442" s="1"/>
      <c r="C442" s="1"/>
      <c r="D442" s="1"/>
      <c r="E442" s="1"/>
    </row>
    <row r="443" ht="15.75" customHeight="1">
      <c r="A443" s="1"/>
      <c r="B443" s="1"/>
      <c r="C443" s="1"/>
      <c r="D443" s="1"/>
      <c r="E443" s="1"/>
    </row>
    <row r="444" ht="15.75" customHeight="1">
      <c r="A444" s="1"/>
      <c r="B444" s="1"/>
      <c r="C444" s="1"/>
      <c r="D444" s="1"/>
      <c r="E444" s="1"/>
    </row>
    <row r="445" ht="15.75" customHeight="1">
      <c r="A445" s="1"/>
      <c r="B445" s="1"/>
      <c r="C445" s="1"/>
      <c r="D445" s="1"/>
      <c r="E445" s="1"/>
    </row>
    <row r="446" ht="15.75" customHeight="1">
      <c r="A446" s="1"/>
      <c r="B446" s="1"/>
      <c r="C446" s="1"/>
      <c r="D446" s="1"/>
      <c r="E446" s="1"/>
    </row>
    <row r="447" ht="15.75" customHeight="1">
      <c r="A447" s="1"/>
      <c r="B447" s="1"/>
      <c r="C447" s="1"/>
      <c r="D447" s="1"/>
      <c r="E447" s="1"/>
    </row>
    <row r="448" ht="15.75" customHeight="1">
      <c r="A448" s="1"/>
      <c r="B448" s="1"/>
      <c r="C448" s="1"/>
      <c r="D448" s="1"/>
      <c r="E448" s="1"/>
    </row>
    <row r="449" ht="15.75" customHeight="1">
      <c r="A449" s="1"/>
      <c r="B449" s="1"/>
      <c r="C449" s="1"/>
      <c r="D449" s="1"/>
      <c r="E449" s="1"/>
    </row>
    <row r="450" ht="15.75" customHeight="1">
      <c r="A450" s="1"/>
      <c r="B450" s="1"/>
      <c r="C450" s="1"/>
      <c r="D450" s="1"/>
      <c r="E450" s="1"/>
    </row>
    <row r="451" ht="15.75" customHeight="1">
      <c r="A451" s="1"/>
      <c r="B451" s="1"/>
      <c r="C451" s="1"/>
      <c r="D451" s="1"/>
      <c r="E451" s="1"/>
    </row>
    <row r="452" ht="15.75" customHeight="1">
      <c r="A452" s="1"/>
      <c r="B452" s="1"/>
      <c r="C452" s="1"/>
      <c r="D452" s="1"/>
      <c r="E452" s="1"/>
    </row>
    <row r="453" ht="15.75" customHeight="1">
      <c r="A453" s="1"/>
      <c r="B453" s="1"/>
      <c r="C453" s="1"/>
      <c r="D453" s="1"/>
      <c r="E453" s="1"/>
    </row>
    <row r="454" ht="15.75" customHeight="1">
      <c r="A454" s="1"/>
      <c r="B454" s="1"/>
      <c r="C454" s="1"/>
      <c r="D454" s="1"/>
      <c r="E454" s="1"/>
    </row>
    <row r="455" ht="15.75" customHeight="1">
      <c r="A455" s="1"/>
      <c r="B455" s="1"/>
      <c r="C455" s="1"/>
      <c r="D455" s="1"/>
      <c r="E455" s="1"/>
    </row>
    <row r="456" ht="15.75" customHeight="1">
      <c r="A456" s="1"/>
      <c r="B456" s="1"/>
      <c r="C456" s="1"/>
      <c r="D456" s="1"/>
      <c r="E456" s="1"/>
    </row>
    <row r="457" ht="15.75" customHeight="1">
      <c r="A457" s="1"/>
      <c r="B457" s="1"/>
      <c r="C457" s="1"/>
      <c r="D457" s="1"/>
      <c r="E457" s="1"/>
    </row>
    <row r="458" ht="15.75" customHeight="1">
      <c r="A458" s="1"/>
      <c r="B458" s="1"/>
      <c r="C458" s="1"/>
      <c r="D458" s="1"/>
      <c r="E458" s="1"/>
    </row>
    <row r="459" ht="15.75" customHeight="1">
      <c r="A459" s="1"/>
      <c r="B459" s="1"/>
      <c r="C459" s="1"/>
      <c r="D459" s="1"/>
      <c r="E459" s="1"/>
    </row>
    <row r="460" ht="15.75" customHeight="1">
      <c r="A460" s="1"/>
      <c r="B460" s="1"/>
      <c r="C460" s="1"/>
      <c r="D460" s="1"/>
      <c r="E460" s="1"/>
    </row>
    <row r="461" ht="15.75" customHeight="1">
      <c r="A461" s="1"/>
      <c r="B461" s="1"/>
      <c r="C461" s="1"/>
      <c r="D461" s="1"/>
      <c r="E461" s="1"/>
    </row>
    <row r="462" ht="15.75" customHeight="1">
      <c r="A462" s="1"/>
      <c r="B462" s="1"/>
      <c r="C462" s="1"/>
      <c r="D462" s="1"/>
      <c r="E462" s="1"/>
    </row>
    <row r="463" ht="15.75" customHeight="1">
      <c r="A463" s="1"/>
      <c r="B463" s="1"/>
      <c r="C463" s="1"/>
      <c r="D463" s="1"/>
      <c r="E463" s="1"/>
    </row>
    <row r="464" ht="15.75" customHeight="1">
      <c r="A464" s="1"/>
      <c r="B464" s="1"/>
      <c r="C464" s="1"/>
      <c r="D464" s="1"/>
      <c r="E464" s="1"/>
    </row>
    <row r="465" ht="15.75" customHeight="1">
      <c r="A465" s="1"/>
      <c r="B465" s="1"/>
      <c r="C465" s="1"/>
      <c r="D465" s="1"/>
      <c r="E465" s="1"/>
    </row>
    <row r="466" ht="15.75" customHeight="1">
      <c r="A466" s="1"/>
      <c r="B466" s="1"/>
      <c r="C466" s="1"/>
      <c r="D466" s="1"/>
      <c r="E466" s="1"/>
    </row>
    <row r="467" ht="15.75" customHeight="1">
      <c r="A467" s="1"/>
      <c r="B467" s="1"/>
      <c r="C467" s="1"/>
      <c r="D467" s="1"/>
      <c r="E467" s="1"/>
    </row>
    <row r="468" ht="15.75" customHeight="1">
      <c r="A468" s="1"/>
      <c r="B468" s="1"/>
      <c r="C468" s="1"/>
      <c r="D468" s="1"/>
      <c r="E468" s="1"/>
    </row>
    <row r="469" ht="15.75" customHeight="1">
      <c r="A469" s="1"/>
      <c r="B469" s="1"/>
      <c r="C469" s="1"/>
      <c r="D469" s="1"/>
      <c r="E469" s="1"/>
    </row>
    <row r="470" ht="15.75" customHeight="1">
      <c r="A470" s="1"/>
      <c r="B470" s="1"/>
      <c r="C470" s="1"/>
      <c r="D470" s="1"/>
      <c r="E470" s="1"/>
    </row>
    <row r="471" ht="15.75" customHeight="1">
      <c r="A471" s="1"/>
      <c r="B471" s="1"/>
      <c r="C471" s="1"/>
      <c r="D471" s="1"/>
      <c r="E471" s="1"/>
    </row>
    <row r="472" ht="15.75" customHeight="1">
      <c r="A472" s="1"/>
      <c r="B472" s="1"/>
      <c r="C472" s="1"/>
      <c r="D472" s="1"/>
      <c r="E472" s="1"/>
    </row>
    <row r="473" ht="15.75" customHeight="1">
      <c r="A473" s="1"/>
      <c r="B473" s="1"/>
      <c r="C473" s="1"/>
      <c r="D473" s="1"/>
      <c r="E473" s="1"/>
    </row>
    <row r="474" ht="15.75" customHeight="1">
      <c r="A474" s="1"/>
      <c r="B474" s="1"/>
      <c r="C474" s="1"/>
      <c r="D474" s="1"/>
      <c r="E474" s="1"/>
    </row>
    <row r="475" ht="15.75" customHeight="1">
      <c r="A475" s="1"/>
      <c r="B475" s="1"/>
      <c r="C475" s="1"/>
      <c r="D475" s="1"/>
      <c r="E475" s="1"/>
    </row>
    <row r="476" ht="15.75" customHeight="1">
      <c r="A476" s="1"/>
      <c r="B476" s="1"/>
      <c r="C476" s="1"/>
      <c r="D476" s="1"/>
      <c r="E476" s="1"/>
    </row>
    <row r="477" ht="15.75" customHeight="1">
      <c r="A477" s="1"/>
      <c r="B477" s="1"/>
      <c r="C477" s="1"/>
      <c r="D477" s="1"/>
      <c r="E477" s="1"/>
    </row>
    <row r="478" ht="15.75" customHeight="1">
      <c r="A478" s="1"/>
      <c r="B478" s="1"/>
      <c r="C478" s="1"/>
      <c r="D478" s="1"/>
      <c r="E478" s="1"/>
    </row>
    <row r="479" ht="15.75" customHeight="1">
      <c r="A479" s="1"/>
      <c r="B479" s="1"/>
      <c r="C479" s="1"/>
      <c r="D479" s="1"/>
      <c r="E479" s="1"/>
    </row>
    <row r="480" ht="15.75" customHeight="1">
      <c r="A480" s="1"/>
      <c r="B480" s="1"/>
      <c r="C480" s="1"/>
      <c r="D480" s="1"/>
      <c r="E480" s="1"/>
    </row>
    <row r="481" ht="15.75" customHeight="1">
      <c r="A481" s="1"/>
      <c r="B481" s="1"/>
      <c r="C481" s="1"/>
      <c r="D481" s="1"/>
      <c r="E481" s="1"/>
    </row>
    <row r="482" ht="15.75" customHeight="1">
      <c r="A482" s="1"/>
      <c r="B482" s="1"/>
      <c r="C482" s="1"/>
      <c r="D482" s="1"/>
      <c r="E482" s="1"/>
    </row>
    <row r="483" ht="15.75" customHeight="1">
      <c r="A483" s="1"/>
      <c r="B483" s="1"/>
      <c r="C483" s="1"/>
      <c r="D483" s="1"/>
      <c r="E483" s="1"/>
    </row>
    <row r="484" ht="15.75" customHeight="1">
      <c r="A484" s="1"/>
      <c r="B484" s="1"/>
      <c r="C484" s="1"/>
      <c r="D484" s="1"/>
      <c r="E484" s="1"/>
    </row>
    <row r="485" ht="15.75" customHeight="1">
      <c r="A485" s="1"/>
      <c r="B485" s="1"/>
      <c r="C485" s="1"/>
      <c r="D485" s="1"/>
      <c r="E485" s="1"/>
    </row>
    <row r="486" ht="15.75" customHeight="1">
      <c r="A486" s="1"/>
      <c r="B486" s="1"/>
      <c r="C486" s="1"/>
      <c r="D486" s="1"/>
      <c r="E486" s="1"/>
    </row>
    <row r="487" ht="15.75" customHeight="1">
      <c r="A487" s="1"/>
      <c r="B487" s="1"/>
      <c r="C487" s="1"/>
      <c r="D487" s="1"/>
      <c r="E487" s="1"/>
    </row>
    <row r="488" ht="15.75" customHeight="1">
      <c r="A488" s="1"/>
      <c r="B488" s="1"/>
      <c r="C488" s="1"/>
      <c r="D488" s="1"/>
      <c r="E488" s="1"/>
    </row>
    <row r="489" ht="15.75" customHeight="1">
      <c r="A489" s="1"/>
      <c r="B489" s="1"/>
      <c r="C489" s="1"/>
      <c r="D489" s="1"/>
      <c r="E489" s="1"/>
    </row>
    <row r="490" ht="15.75" customHeight="1">
      <c r="A490" s="1"/>
      <c r="B490" s="1"/>
      <c r="C490" s="1"/>
      <c r="D490" s="1"/>
      <c r="E490" s="1"/>
    </row>
    <row r="491" ht="15.75" customHeight="1">
      <c r="A491" s="1"/>
      <c r="B491" s="1"/>
      <c r="C491" s="1"/>
      <c r="D491" s="1"/>
      <c r="E491" s="1"/>
    </row>
    <row r="492" ht="15.75" customHeight="1">
      <c r="A492" s="1"/>
      <c r="B492" s="1"/>
      <c r="C492" s="1"/>
      <c r="D492" s="1"/>
      <c r="E492" s="1"/>
    </row>
    <row r="493" ht="15.75" customHeight="1">
      <c r="A493" s="1"/>
      <c r="B493" s="1"/>
      <c r="C493" s="1"/>
      <c r="D493" s="1"/>
      <c r="E493" s="1"/>
    </row>
    <row r="494" ht="15.75" customHeight="1">
      <c r="A494" s="1"/>
      <c r="B494" s="1"/>
      <c r="C494" s="1"/>
      <c r="D494" s="1"/>
      <c r="E494" s="1"/>
    </row>
    <row r="495" ht="15.75" customHeight="1">
      <c r="A495" s="1"/>
      <c r="B495" s="1"/>
      <c r="C495" s="1"/>
      <c r="D495" s="1"/>
      <c r="E495" s="1"/>
    </row>
    <row r="496" ht="15.75" customHeight="1">
      <c r="A496" s="1"/>
      <c r="B496" s="1"/>
      <c r="C496" s="1"/>
      <c r="D496" s="1"/>
      <c r="E496" s="1"/>
    </row>
    <row r="497" ht="15.75" customHeight="1">
      <c r="A497" s="1"/>
      <c r="B497" s="1"/>
      <c r="C497" s="1"/>
      <c r="D497" s="1"/>
      <c r="E497" s="1"/>
    </row>
    <row r="498" ht="15.75" customHeight="1">
      <c r="A498" s="1"/>
      <c r="B498" s="1"/>
      <c r="C498" s="1"/>
      <c r="D498" s="1"/>
      <c r="E498" s="1"/>
    </row>
    <row r="499" ht="15.75" customHeight="1">
      <c r="A499" s="1"/>
      <c r="B499" s="1"/>
      <c r="C499" s="1"/>
      <c r="D499" s="1"/>
      <c r="E499" s="1"/>
    </row>
    <row r="500" ht="15.75" customHeight="1">
      <c r="A500" s="1"/>
      <c r="B500" s="1"/>
      <c r="C500" s="1"/>
      <c r="D500" s="1"/>
      <c r="E500" s="1"/>
    </row>
    <row r="501" ht="15.75" customHeight="1">
      <c r="A501" s="1"/>
      <c r="B501" s="1"/>
      <c r="C501" s="1"/>
      <c r="D501" s="1"/>
      <c r="E501" s="1"/>
    </row>
    <row r="502" ht="15.75" customHeight="1">
      <c r="A502" s="1"/>
      <c r="B502" s="1"/>
      <c r="C502" s="1"/>
      <c r="D502" s="1"/>
      <c r="E502" s="1"/>
    </row>
    <row r="503" ht="15.75" customHeight="1">
      <c r="A503" s="1"/>
      <c r="B503" s="1"/>
      <c r="C503" s="1"/>
      <c r="D503" s="1"/>
      <c r="E503" s="1"/>
    </row>
    <row r="504" ht="15.75" customHeight="1">
      <c r="A504" s="1"/>
      <c r="B504" s="1"/>
      <c r="C504" s="1"/>
      <c r="D504" s="1"/>
      <c r="E504" s="1"/>
    </row>
    <row r="505" ht="15.75" customHeight="1">
      <c r="A505" s="1"/>
      <c r="B505" s="1"/>
      <c r="C505" s="1"/>
      <c r="D505" s="1"/>
      <c r="E505" s="1"/>
    </row>
    <row r="506" ht="15.75" customHeight="1">
      <c r="A506" s="1"/>
      <c r="B506" s="1"/>
      <c r="C506" s="1"/>
      <c r="D506" s="1"/>
      <c r="E506" s="1"/>
    </row>
    <row r="507" ht="15.75" customHeight="1">
      <c r="A507" s="1"/>
      <c r="B507" s="1"/>
      <c r="C507" s="1"/>
      <c r="D507" s="1"/>
      <c r="E507" s="1"/>
    </row>
    <row r="508" ht="15.75" customHeight="1">
      <c r="A508" s="1"/>
      <c r="B508" s="1"/>
      <c r="C508" s="1"/>
      <c r="D508" s="1"/>
      <c r="E508" s="1"/>
    </row>
    <row r="509" ht="15.75" customHeight="1">
      <c r="A509" s="1"/>
      <c r="B509" s="1"/>
      <c r="C509" s="1"/>
      <c r="D509" s="1"/>
      <c r="E509" s="1"/>
    </row>
    <row r="510" ht="15.75" customHeight="1">
      <c r="A510" s="1"/>
      <c r="B510" s="1"/>
      <c r="C510" s="1"/>
      <c r="D510" s="1"/>
      <c r="E510" s="1"/>
    </row>
    <row r="511" ht="15.75" customHeight="1">
      <c r="A511" s="1"/>
      <c r="B511" s="1"/>
      <c r="C511" s="1"/>
      <c r="D511" s="1"/>
      <c r="E511" s="1"/>
    </row>
    <row r="512" ht="15.75" customHeight="1">
      <c r="A512" s="1"/>
      <c r="B512" s="1"/>
      <c r="C512" s="1"/>
      <c r="D512" s="1"/>
      <c r="E512" s="1"/>
    </row>
    <row r="513" ht="15.75" customHeight="1">
      <c r="A513" s="1"/>
      <c r="B513" s="1"/>
      <c r="C513" s="1"/>
      <c r="D513" s="1"/>
      <c r="E513" s="1"/>
    </row>
    <row r="514" ht="15.75" customHeight="1">
      <c r="A514" s="1"/>
      <c r="B514" s="1"/>
      <c r="C514" s="1"/>
      <c r="D514" s="1"/>
      <c r="E514" s="1"/>
    </row>
    <row r="515" ht="15.75" customHeight="1">
      <c r="A515" s="1"/>
      <c r="B515" s="1"/>
      <c r="C515" s="1"/>
      <c r="D515" s="1"/>
      <c r="E515" s="1"/>
    </row>
    <row r="516" ht="15.75" customHeight="1">
      <c r="A516" s="1"/>
      <c r="B516" s="1"/>
      <c r="C516" s="1"/>
      <c r="D516" s="1"/>
      <c r="E516" s="1"/>
    </row>
    <row r="517" ht="15.75" customHeight="1">
      <c r="A517" s="1"/>
      <c r="B517" s="1"/>
      <c r="C517" s="1"/>
      <c r="D517" s="1"/>
      <c r="E517" s="1"/>
    </row>
    <row r="518" ht="15.75" customHeight="1">
      <c r="A518" s="1"/>
      <c r="B518" s="1"/>
      <c r="C518" s="1"/>
      <c r="D518" s="1"/>
      <c r="E518" s="1"/>
    </row>
    <row r="519" ht="15.75" customHeight="1">
      <c r="A519" s="1"/>
      <c r="B519" s="1"/>
      <c r="C519" s="1"/>
      <c r="D519" s="1"/>
      <c r="E519" s="1"/>
    </row>
    <row r="520" ht="15.75" customHeight="1">
      <c r="A520" s="1"/>
      <c r="B520" s="1"/>
      <c r="C520" s="1"/>
      <c r="D520" s="1"/>
      <c r="E520" s="1"/>
    </row>
    <row r="521" ht="15.75" customHeight="1">
      <c r="A521" s="1"/>
      <c r="B521" s="1"/>
      <c r="C521" s="1"/>
      <c r="D521" s="1"/>
      <c r="E521" s="1"/>
    </row>
    <row r="522" ht="15.75" customHeight="1">
      <c r="A522" s="1"/>
      <c r="B522" s="1"/>
      <c r="C522" s="1"/>
      <c r="D522" s="1"/>
      <c r="E522" s="1"/>
    </row>
    <row r="523" ht="15.75" customHeight="1">
      <c r="A523" s="1"/>
      <c r="B523" s="1"/>
      <c r="C523" s="1"/>
      <c r="D523" s="1"/>
      <c r="E523" s="1"/>
    </row>
    <row r="524" ht="15.75" customHeight="1">
      <c r="A524" s="1"/>
      <c r="B524" s="1"/>
      <c r="C524" s="1"/>
      <c r="D524" s="1"/>
      <c r="E524" s="1"/>
    </row>
    <row r="525" ht="15.75" customHeight="1">
      <c r="A525" s="1"/>
      <c r="B525" s="1"/>
      <c r="C525" s="1"/>
      <c r="D525" s="1"/>
      <c r="E525" s="1"/>
    </row>
    <row r="526" ht="15.75" customHeight="1">
      <c r="A526" s="1"/>
      <c r="B526" s="1"/>
      <c r="C526" s="1"/>
      <c r="D526" s="1"/>
      <c r="E526" s="1"/>
    </row>
    <row r="527" ht="15.75" customHeight="1">
      <c r="A527" s="1"/>
      <c r="B527" s="1"/>
      <c r="C527" s="1"/>
      <c r="D527" s="1"/>
      <c r="E527" s="1"/>
    </row>
    <row r="528" ht="15.75" customHeight="1">
      <c r="A528" s="1"/>
      <c r="B528" s="1"/>
      <c r="C528" s="1"/>
      <c r="D528" s="1"/>
      <c r="E528" s="1"/>
    </row>
    <row r="529" ht="15.75" customHeight="1">
      <c r="A529" s="1"/>
      <c r="B529" s="1"/>
      <c r="C529" s="1"/>
      <c r="D529" s="1"/>
      <c r="E529" s="1"/>
    </row>
    <row r="530" ht="15.75" customHeight="1">
      <c r="A530" s="1"/>
      <c r="B530" s="1"/>
      <c r="C530" s="1"/>
      <c r="D530" s="1"/>
      <c r="E530" s="1"/>
    </row>
    <row r="531" ht="15.75" customHeight="1">
      <c r="A531" s="1"/>
      <c r="B531" s="1"/>
      <c r="C531" s="1"/>
      <c r="D531" s="1"/>
      <c r="E531" s="1"/>
    </row>
    <row r="532" ht="15.75" customHeight="1">
      <c r="A532" s="1"/>
      <c r="B532" s="1"/>
      <c r="C532" s="1"/>
      <c r="D532" s="1"/>
      <c r="E532" s="1"/>
    </row>
    <row r="533" ht="15.75" customHeight="1">
      <c r="A533" s="1"/>
      <c r="B533" s="1"/>
      <c r="C533" s="1"/>
      <c r="D533" s="1"/>
      <c r="E533" s="1"/>
    </row>
    <row r="534" ht="15.75" customHeight="1">
      <c r="A534" s="1"/>
      <c r="B534" s="1"/>
      <c r="C534" s="1"/>
      <c r="D534" s="1"/>
      <c r="E534" s="1"/>
    </row>
    <row r="535" ht="15.75" customHeight="1">
      <c r="A535" s="1"/>
      <c r="B535" s="1"/>
      <c r="C535" s="1"/>
      <c r="D535" s="1"/>
      <c r="E535" s="1"/>
    </row>
    <row r="536" ht="15.75" customHeight="1">
      <c r="A536" s="1"/>
      <c r="B536" s="1"/>
      <c r="C536" s="1"/>
      <c r="D536" s="1"/>
      <c r="E536" s="1"/>
    </row>
    <row r="537" ht="15.75" customHeight="1">
      <c r="A537" s="1"/>
      <c r="B537" s="1"/>
      <c r="C537" s="1"/>
      <c r="D537" s="1"/>
      <c r="E537" s="1"/>
    </row>
    <row r="538" ht="15.75" customHeight="1">
      <c r="A538" s="1"/>
      <c r="B538" s="1"/>
      <c r="C538" s="1"/>
      <c r="D538" s="1"/>
      <c r="E538" s="1"/>
    </row>
    <row r="539" ht="15.75" customHeight="1">
      <c r="A539" s="1"/>
      <c r="B539" s="1"/>
      <c r="C539" s="1"/>
      <c r="D539" s="1"/>
      <c r="E539" s="1"/>
    </row>
    <row r="540" ht="15.75" customHeight="1">
      <c r="A540" s="1"/>
      <c r="B540" s="1"/>
      <c r="C540" s="1"/>
      <c r="D540" s="1"/>
      <c r="E540" s="1"/>
    </row>
    <row r="541" ht="15.75" customHeight="1">
      <c r="A541" s="1"/>
      <c r="B541" s="1"/>
      <c r="C541" s="1"/>
      <c r="D541" s="1"/>
      <c r="E541" s="1"/>
    </row>
    <row r="542" ht="15.75" customHeight="1">
      <c r="A542" s="1"/>
      <c r="B542" s="1"/>
      <c r="C542" s="1"/>
      <c r="D542" s="1"/>
      <c r="E542" s="1"/>
    </row>
    <row r="543" ht="15.75" customHeight="1">
      <c r="A543" s="1"/>
      <c r="B543" s="1"/>
      <c r="C543" s="1"/>
      <c r="D543" s="1"/>
      <c r="E543" s="1"/>
    </row>
    <row r="544" ht="15.75" customHeight="1">
      <c r="A544" s="1"/>
      <c r="B544" s="1"/>
      <c r="C544" s="1"/>
      <c r="D544" s="1"/>
      <c r="E544" s="1"/>
    </row>
    <row r="545" ht="15.75" customHeight="1">
      <c r="A545" s="1"/>
      <c r="B545" s="1"/>
      <c r="C545" s="1"/>
      <c r="D545" s="1"/>
      <c r="E545" s="1"/>
    </row>
    <row r="546" ht="15.75" customHeight="1">
      <c r="A546" s="1"/>
      <c r="B546" s="1"/>
      <c r="C546" s="1"/>
      <c r="D546" s="1"/>
      <c r="E546" s="1"/>
    </row>
    <row r="547" ht="15.75" customHeight="1">
      <c r="A547" s="1"/>
      <c r="B547" s="1"/>
      <c r="C547" s="1"/>
      <c r="D547" s="1"/>
      <c r="E547" s="1"/>
    </row>
    <row r="548" ht="15.75" customHeight="1">
      <c r="A548" s="1"/>
      <c r="B548" s="1"/>
      <c r="C548" s="1"/>
      <c r="D548" s="1"/>
      <c r="E548" s="1"/>
    </row>
    <row r="549" ht="15.75" customHeight="1">
      <c r="A549" s="1"/>
      <c r="B549" s="1"/>
      <c r="C549" s="1"/>
      <c r="D549" s="1"/>
      <c r="E549" s="1"/>
    </row>
    <row r="550" ht="15.75" customHeight="1">
      <c r="A550" s="1"/>
      <c r="B550" s="1"/>
      <c r="C550" s="1"/>
      <c r="D550" s="1"/>
      <c r="E550" s="1"/>
    </row>
    <row r="551" ht="15.75" customHeight="1">
      <c r="A551" s="1"/>
      <c r="B551" s="1"/>
      <c r="C551" s="1"/>
      <c r="D551" s="1"/>
      <c r="E551" s="1"/>
    </row>
    <row r="552" ht="15.75" customHeight="1">
      <c r="A552" s="1"/>
      <c r="B552" s="1"/>
      <c r="C552" s="1"/>
      <c r="D552" s="1"/>
      <c r="E552" s="1"/>
    </row>
    <row r="553" ht="15.75" customHeight="1">
      <c r="A553" s="1"/>
      <c r="B553" s="1"/>
      <c r="C553" s="1"/>
      <c r="D553" s="1"/>
      <c r="E553" s="1"/>
    </row>
    <row r="554" ht="15.75" customHeight="1">
      <c r="A554" s="1"/>
      <c r="B554" s="1"/>
      <c r="C554" s="1"/>
      <c r="D554" s="1"/>
      <c r="E554" s="1"/>
    </row>
    <row r="555" ht="15.75" customHeight="1">
      <c r="A555" s="1"/>
      <c r="B555" s="1"/>
      <c r="C555" s="1"/>
      <c r="D555" s="1"/>
      <c r="E555" s="1"/>
    </row>
    <row r="556" ht="15.75" customHeight="1">
      <c r="A556" s="1"/>
      <c r="B556" s="1"/>
      <c r="C556" s="1"/>
      <c r="D556" s="1"/>
      <c r="E556" s="1"/>
    </row>
    <row r="557" ht="15.75" customHeight="1">
      <c r="A557" s="1"/>
      <c r="B557" s="1"/>
      <c r="C557" s="1"/>
      <c r="D557" s="1"/>
      <c r="E557" s="1"/>
    </row>
    <row r="558" ht="15.75" customHeight="1">
      <c r="A558" s="1"/>
      <c r="B558" s="1"/>
      <c r="C558" s="1"/>
      <c r="D558" s="1"/>
      <c r="E558" s="1"/>
    </row>
    <row r="559" ht="15.75" customHeight="1">
      <c r="A559" s="1"/>
      <c r="B559" s="1"/>
      <c r="C559" s="1"/>
      <c r="D559" s="1"/>
      <c r="E559" s="1"/>
    </row>
    <row r="560" ht="15.75" customHeight="1">
      <c r="A560" s="1"/>
      <c r="B560" s="1"/>
      <c r="C560" s="1"/>
      <c r="D560" s="1"/>
      <c r="E560" s="1"/>
    </row>
    <row r="561" ht="15.75" customHeight="1">
      <c r="A561" s="1"/>
      <c r="B561" s="1"/>
      <c r="C561" s="1"/>
      <c r="D561" s="1"/>
      <c r="E561" s="1"/>
    </row>
    <row r="562" ht="15.75" customHeight="1">
      <c r="A562" s="1"/>
      <c r="B562" s="1"/>
      <c r="C562" s="1"/>
      <c r="D562" s="1"/>
      <c r="E562" s="1"/>
    </row>
    <row r="563" ht="15.75" customHeight="1">
      <c r="A563" s="1"/>
      <c r="B563" s="1"/>
      <c r="C563" s="1"/>
      <c r="D563" s="1"/>
      <c r="E563" s="1"/>
    </row>
    <row r="564" ht="15.75" customHeight="1">
      <c r="A564" s="1"/>
      <c r="B564" s="1"/>
      <c r="C564" s="1"/>
      <c r="D564" s="1"/>
      <c r="E564" s="1"/>
    </row>
    <row r="565" ht="15.75" customHeight="1">
      <c r="A565" s="1"/>
      <c r="B565" s="1"/>
      <c r="C565" s="1"/>
      <c r="D565" s="1"/>
      <c r="E565" s="1"/>
    </row>
    <row r="566" ht="15.75" customHeight="1">
      <c r="A566" s="1"/>
      <c r="B566" s="1"/>
      <c r="C566" s="1"/>
      <c r="D566" s="1"/>
      <c r="E566" s="1"/>
    </row>
    <row r="567" ht="15.75" customHeight="1">
      <c r="A567" s="1"/>
      <c r="B567" s="1"/>
      <c r="C567" s="1"/>
      <c r="D567" s="1"/>
      <c r="E567" s="1"/>
    </row>
    <row r="568" ht="15.75" customHeight="1">
      <c r="A568" s="1"/>
      <c r="B568" s="1"/>
      <c r="C568" s="1"/>
      <c r="D568" s="1"/>
      <c r="E568" s="1"/>
    </row>
    <row r="569" ht="15.75" customHeight="1">
      <c r="A569" s="1"/>
      <c r="B569" s="1"/>
      <c r="C569" s="1"/>
      <c r="D569" s="1"/>
      <c r="E569" s="1"/>
    </row>
    <row r="570" ht="15.75" customHeight="1">
      <c r="A570" s="1"/>
      <c r="B570" s="1"/>
      <c r="C570" s="1"/>
      <c r="D570" s="1"/>
      <c r="E570" s="1"/>
    </row>
    <row r="571" ht="15.75" customHeight="1">
      <c r="A571" s="1"/>
      <c r="B571" s="1"/>
      <c r="C571" s="1"/>
      <c r="D571" s="1"/>
      <c r="E571" s="1"/>
    </row>
    <row r="572" ht="15.75" customHeight="1">
      <c r="A572" s="1"/>
      <c r="B572" s="1"/>
      <c r="C572" s="1"/>
      <c r="D572" s="1"/>
      <c r="E572" s="1"/>
    </row>
    <row r="573" ht="15.75" customHeight="1">
      <c r="A573" s="1"/>
      <c r="B573" s="1"/>
      <c r="C573" s="1"/>
      <c r="D573" s="1"/>
      <c r="E573" s="1"/>
    </row>
    <row r="574" ht="15.75" customHeight="1">
      <c r="A574" s="1"/>
      <c r="B574" s="1"/>
      <c r="C574" s="1"/>
      <c r="D574" s="1"/>
      <c r="E574" s="1"/>
    </row>
    <row r="575" ht="15.75" customHeight="1">
      <c r="A575" s="1"/>
      <c r="B575" s="1"/>
      <c r="C575" s="1"/>
      <c r="D575" s="1"/>
      <c r="E575" s="1"/>
    </row>
    <row r="576" ht="15.75" customHeight="1">
      <c r="A576" s="1"/>
      <c r="B576" s="1"/>
      <c r="C576" s="1"/>
      <c r="D576" s="1"/>
      <c r="E576" s="1"/>
    </row>
    <row r="577" ht="15.75" customHeight="1">
      <c r="A577" s="1"/>
      <c r="B577" s="1"/>
      <c r="C577" s="1"/>
      <c r="D577" s="1"/>
      <c r="E577" s="1"/>
    </row>
    <row r="578" ht="15.75" customHeight="1">
      <c r="A578" s="1"/>
      <c r="B578" s="1"/>
      <c r="C578" s="1"/>
      <c r="D578" s="1"/>
      <c r="E578" s="1"/>
    </row>
    <row r="579" ht="15.75" customHeight="1">
      <c r="A579" s="1"/>
      <c r="B579" s="1"/>
      <c r="C579" s="1"/>
      <c r="D579" s="1"/>
      <c r="E579" s="1"/>
    </row>
    <row r="580" ht="15.75" customHeight="1">
      <c r="A580" s="1"/>
      <c r="B580" s="1"/>
      <c r="C580" s="1"/>
      <c r="D580" s="1"/>
      <c r="E580" s="1"/>
    </row>
    <row r="581" ht="15.75" customHeight="1">
      <c r="A581" s="1"/>
      <c r="B581" s="1"/>
      <c r="C581" s="1"/>
      <c r="D581" s="1"/>
      <c r="E581" s="1"/>
    </row>
    <row r="582" ht="15.75" customHeight="1">
      <c r="A582" s="1"/>
      <c r="B582" s="1"/>
      <c r="C582" s="1"/>
      <c r="D582" s="1"/>
      <c r="E582" s="1"/>
    </row>
    <row r="583" ht="15.75" customHeight="1">
      <c r="A583" s="1"/>
      <c r="B583" s="1"/>
      <c r="C583" s="1"/>
      <c r="D583" s="1"/>
      <c r="E583" s="1"/>
    </row>
    <row r="584" ht="15.75" customHeight="1">
      <c r="A584" s="1"/>
      <c r="B584" s="1"/>
      <c r="C584" s="1"/>
      <c r="D584" s="1"/>
      <c r="E584" s="1"/>
    </row>
    <row r="585" ht="15.75" customHeight="1">
      <c r="A585" s="1"/>
      <c r="B585" s="1"/>
      <c r="C585" s="1"/>
      <c r="D585" s="1"/>
      <c r="E585" s="1"/>
    </row>
    <row r="586" ht="15.75" customHeight="1">
      <c r="A586" s="1"/>
      <c r="B586" s="1"/>
      <c r="C586" s="1"/>
      <c r="D586" s="1"/>
      <c r="E586" s="1"/>
    </row>
    <row r="587" ht="15.75" customHeight="1">
      <c r="A587" s="1"/>
      <c r="B587" s="1"/>
      <c r="C587" s="1"/>
      <c r="D587" s="1"/>
      <c r="E587" s="1"/>
    </row>
    <row r="588" ht="15.75" customHeight="1">
      <c r="A588" s="1"/>
      <c r="B588" s="1"/>
      <c r="C588" s="1"/>
      <c r="D588" s="1"/>
      <c r="E588" s="1"/>
    </row>
    <row r="589" ht="15.75" customHeight="1">
      <c r="A589" s="1"/>
      <c r="B589" s="1"/>
      <c r="C589" s="1"/>
      <c r="D589" s="1"/>
      <c r="E589" s="1"/>
    </row>
    <row r="590" ht="15.75" customHeight="1">
      <c r="A590" s="1"/>
      <c r="B590" s="1"/>
      <c r="C590" s="1"/>
      <c r="D590" s="1"/>
      <c r="E590" s="1"/>
    </row>
    <row r="591" ht="15.75" customHeight="1">
      <c r="A591" s="1"/>
      <c r="B591" s="1"/>
      <c r="C591" s="1"/>
      <c r="D591" s="1"/>
      <c r="E591" s="1"/>
    </row>
    <row r="592" ht="15.75" customHeight="1">
      <c r="A592" s="1"/>
      <c r="B592" s="1"/>
      <c r="C592" s="1"/>
      <c r="D592" s="1"/>
      <c r="E592" s="1"/>
    </row>
    <row r="593" ht="15.75" customHeight="1">
      <c r="A593" s="1"/>
      <c r="B593" s="1"/>
      <c r="C593" s="1"/>
      <c r="D593" s="1"/>
      <c r="E593" s="1"/>
    </row>
    <row r="594" ht="15.75" customHeight="1">
      <c r="A594" s="1"/>
      <c r="B594" s="1"/>
      <c r="C594" s="1"/>
      <c r="D594" s="1"/>
      <c r="E594" s="1"/>
    </row>
    <row r="595" ht="15.75" customHeight="1">
      <c r="A595" s="1"/>
      <c r="B595" s="1"/>
      <c r="C595" s="1"/>
      <c r="D595" s="1"/>
      <c r="E595" s="1"/>
    </row>
    <row r="596" ht="15.75" customHeight="1">
      <c r="A596" s="1"/>
      <c r="B596" s="1"/>
      <c r="C596" s="1"/>
      <c r="D596" s="1"/>
      <c r="E596" s="1"/>
    </row>
    <row r="597" ht="15.75" customHeight="1">
      <c r="A597" s="1"/>
      <c r="B597" s="1"/>
      <c r="C597" s="1"/>
      <c r="D597" s="1"/>
      <c r="E597" s="1"/>
    </row>
    <row r="598" ht="15.75" customHeight="1">
      <c r="A598" s="1"/>
      <c r="B598" s="1"/>
      <c r="C598" s="1"/>
      <c r="D598" s="1"/>
      <c r="E598" s="1"/>
    </row>
    <row r="599" ht="15.75" customHeight="1">
      <c r="A599" s="1"/>
      <c r="B599" s="1"/>
      <c r="C599" s="1"/>
      <c r="D599" s="1"/>
      <c r="E599" s="1"/>
    </row>
    <row r="600" ht="15.75" customHeight="1">
      <c r="A600" s="1"/>
      <c r="B600" s="1"/>
      <c r="C600" s="1"/>
      <c r="D600" s="1"/>
      <c r="E600" s="1"/>
    </row>
    <row r="601" ht="15.75" customHeight="1">
      <c r="A601" s="1"/>
      <c r="B601" s="1"/>
      <c r="C601" s="1"/>
      <c r="D601" s="1"/>
      <c r="E601" s="1"/>
    </row>
    <row r="602" ht="15.75" customHeight="1">
      <c r="A602" s="1"/>
      <c r="B602" s="1"/>
      <c r="C602" s="1"/>
      <c r="D602" s="1"/>
      <c r="E602" s="1"/>
    </row>
    <row r="603" ht="15.75" customHeight="1">
      <c r="A603" s="1"/>
      <c r="B603" s="1"/>
      <c r="C603" s="1"/>
      <c r="D603" s="1"/>
      <c r="E603" s="1"/>
    </row>
    <row r="604" ht="15.75" customHeight="1">
      <c r="A604" s="1"/>
      <c r="B604" s="1"/>
      <c r="C604" s="1"/>
      <c r="D604" s="1"/>
      <c r="E604" s="1"/>
    </row>
    <row r="605" ht="15.75" customHeight="1">
      <c r="A605" s="1"/>
      <c r="B605" s="1"/>
      <c r="C605" s="1"/>
      <c r="D605" s="1"/>
      <c r="E605" s="1"/>
    </row>
    <row r="606" ht="15.75" customHeight="1">
      <c r="A606" s="1"/>
      <c r="B606" s="1"/>
      <c r="C606" s="1"/>
      <c r="D606" s="1"/>
      <c r="E606" s="1"/>
    </row>
    <row r="607" ht="15.75" customHeight="1">
      <c r="A607" s="1"/>
      <c r="B607" s="1"/>
      <c r="C607" s="1"/>
      <c r="D607" s="1"/>
      <c r="E607" s="1"/>
    </row>
    <row r="608" ht="15.75" customHeight="1">
      <c r="A608" s="1"/>
      <c r="B608" s="1"/>
      <c r="C608" s="1"/>
      <c r="D608" s="1"/>
      <c r="E608" s="1"/>
    </row>
    <row r="609" ht="15.75" customHeight="1">
      <c r="A609" s="1"/>
      <c r="B609" s="1"/>
      <c r="C609" s="1"/>
      <c r="D609" s="1"/>
      <c r="E609" s="1"/>
    </row>
    <row r="610" ht="15.75" customHeight="1">
      <c r="A610" s="1"/>
      <c r="B610" s="1"/>
      <c r="C610" s="1"/>
      <c r="D610" s="1"/>
      <c r="E610" s="1"/>
    </row>
    <row r="611" ht="15.75" customHeight="1">
      <c r="A611" s="1"/>
      <c r="B611" s="1"/>
      <c r="C611" s="1"/>
      <c r="D611" s="1"/>
      <c r="E611" s="1"/>
    </row>
    <row r="612" ht="15.75" customHeight="1">
      <c r="A612" s="1"/>
      <c r="B612" s="1"/>
      <c r="C612" s="1"/>
      <c r="D612" s="1"/>
      <c r="E612" s="1"/>
    </row>
    <row r="613" ht="15.75" customHeight="1">
      <c r="A613" s="1"/>
      <c r="B613" s="1"/>
      <c r="C613" s="1"/>
      <c r="D613" s="1"/>
      <c r="E613" s="1"/>
    </row>
    <row r="614" ht="15.75" customHeight="1">
      <c r="A614" s="1"/>
      <c r="B614" s="1"/>
      <c r="C614" s="1"/>
      <c r="D614" s="1"/>
      <c r="E614" s="1"/>
    </row>
    <row r="615" ht="15.75" customHeight="1">
      <c r="A615" s="1"/>
      <c r="B615" s="1"/>
      <c r="C615" s="1"/>
      <c r="D615" s="1"/>
      <c r="E615" s="1"/>
    </row>
    <row r="616" ht="15.75" customHeight="1">
      <c r="A616" s="1"/>
      <c r="B616" s="1"/>
      <c r="C616" s="1"/>
      <c r="D616" s="1"/>
      <c r="E616" s="1"/>
    </row>
    <row r="617" ht="15.75" customHeight="1">
      <c r="A617" s="1"/>
      <c r="B617" s="1"/>
      <c r="C617" s="1"/>
      <c r="D617" s="1"/>
      <c r="E617" s="1"/>
    </row>
    <row r="618" ht="15.75" customHeight="1">
      <c r="A618" s="1"/>
      <c r="B618" s="1"/>
      <c r="C618" s="1"/>
      <c r="D618" s="1"/>
      <c r="E618" s="1"/>
    </row>
    <row r="619" ht="15.75" customHeight="1">
      <c r="A619" s="1"/>
      <c r="B619" s="1"/>
      <c r="C619" s="1"/>
      <c r="D619" s="1"/>
      <c r="E619" s="1"/>
    </row>
    <row r="620" ht="15.75" customHeight="1">
      <c r="A620" s="1"/>
      <c r="B620" s="1"/>
      <c r="C620" s="1"/>
      <c r="D620" s="1"/>
      <c r="E620" s="1"/>
    </row>
    <row r="621" ht="15.75" customHeight="1">
      <c r="A621" s="1"/>
      <c r="B621" s="1"/>
      <c r="C621" s="1"/>
      <c r="D621" s="1"/>
      <c r="E621" s="1"/>
    </row>
    <row r="622" ht="15.75" customHeight="1">
      <c r="A622" s="1"/>
      <c r="B622" s="1"/>
      <c r="C622" s="1"/>
      <c r="D622" s="1"/>
      <c r="E622" s="1"/>
    </row>
    <row r="623" ht="15.75" customHeight="1">
      <c r="A623" s="1"/>
      <c r="B623" s="1"/>
      <c r="C623" s="1"/>
      <c r="D623" s="1"/>
      <c r="E623" s="1"/>
    </row>
    <row r="624" ht="15.75" customHeight="1">
      <c r="A624" s="1"/>
      <c r="B624" s="1"/>
      <c r="C624" s="1"/>
      <c r="D624" s="1"/>
      <c r="E624" s="1"/>
    </row>
    <row r="625" ht="15.75" customHeight="1">
      <c r="A625" s="1"/>
      <c r="B625" s="1"/>
      <c r="C625" s="1"/>
      <c r="D625" s="1"/>
      <c r="E625" s="1"/>
    </row>
    <row r="626" ht="15.75" customHeight="1">
      <c r="A626" s="1"/>
      <c r="B626" s="1"/>
      <c r="C626" s="1"/>
      <c r="D626" s="1"/>
      <c r="E626" s="1"/>
    </row>
    <row r="627" ht="15.75" customHeight="1">
      <c r="A627" s="1"/>
      <c r="B627" s="1"/>
      <c r="C627" s="1"/>
      <c r="D627" s="1"/>
      <c r="E627" s="1"/>
    </row>
    <row r="628" ht="15.75" customHeight="1">
      <c r="A628" s="1"/>
      <c r="B628" s="1"/>
      <c r="C628" s="1"/>
      <c r="D628" s="1"/>
      <c r="E628" s="1"/>
    </row>
    <row r="629" ht="15.75" customHeight="1">
      <c r="A629" s="1"/>
      <c r="B629" s="1"/>
      <c r="C629" s="1"/>
      <c r="D629" s="1"/>
      <c r="E629" s="1"/>
    </row>
    <row r="630" ht="15.75" customHeight="1">
      <c r="A630" s="1"/>
      <c r="B630" s="1"/>
      <c r="C630" s="1"/>
      <c r="D630" s="1"/>
      <c r="E630" s="1"/>
    </row>
    <row r="631" ht="15.75" customHeight="1">
      <c r="A631" s="1"/>
      <c r="B631" s="1"/>
      <c r="C631" s="1"/>
      <c r="D631" s="1"/>
      <c r="E631" s="1"/>
    </row>
    <row r="632" ht="15.75" customHeight="1">
      <c r="A632" s="1"/>
      <c r="B632" s="1"/>
      <c r="C632" s="1"/>
      <c r="D632" s="1"/>
      <c r="E632" s="1"/>
    </row>
    <row r="633" ht="15.75" customHeight="1">
      <c r="A633" s="1"/>
      <c r="B633" s="1"/>
      <c r="C633" s="1"/>
      <c r="D633" s="1"/>
      <c r="E633" s="1"/>
    </row>
    <row r="634" ht="15.75" customHeight="1">
      <c r="A634" s="1"/>
      <c r="B634" s="1"/>
      <c r="C634" s="1"/>
      <c r="D634" s="1"/>
      <c r="E634" s="1"/>
    </row>
    <row r="635" ht="15.75" customHeight="1">
      <c r="A635" s="1"/>
      <c r="B635" s="1"/>
      <c r="C635" s="1"/>
      <c r="D635" s="1"/>
      <c r="E635" s="1"/>
    </row>
    <row r="636" ht="15.75" customHeight="1">
      <c r="A636" s="1"/>
      <c r="B636" s="1"/>
      <c r="C636" s="1"/>
      <c r="D636" s="1"/>
      <c r="E636" s="1"/>
    </row>
    <row r="637" ht="15.75" customHeight="1">
      <c r="A637" s="1"/>
      <c r="B637" s="1"/>
      <c r="C637" s="1"/>
      <c r="D637" s="1"/>
      <c r="E637" s="1"/>
    </row>
    <row r="638" ht="15.75" customHeight="1">
      <c r="A638" s="1"/>
      <c r="B638" s="1"/>
      <c r="C638" s="1"/>
      <c r="D638" s="1"/>
      <c r="E638" s="1"/>
    </row>
    <row r="639" ht="15.75" customHeight="1">
      <c r="A639" s="1"/>
      <c r="B639" s="1"/>
      <c r="C639" s="1"/>
      <c r="D639" s="1"/>
      <c r="E639" s="1"/>
    </row>
    <row r="640" ht="15.75" customHeight="1">
      <c r="A640" s="1"/>
      <c r="B640" s="1"/>
      <c r="C640" s="1"/>
      <c r="D640" s="1"/>
      <c r="E640" s="1"/>
    </row>
    <row r="641" ht="15.75" customHeight="1">
      <c r="A641" s="1"/>
      <c r="B641" s="1"/>
      <c r="C641" s="1"/>
      <c r="D641" s="1"/>
      <c r="E641" s="1"/>
    </row>
    <row r="642" ht="15.75" customHeight="1">
      <c r="A642" s="1"/>
      <c r="B642" s="1"/>
      <c r="C642" s="1"/>
      <c r="D642" s="1"/>
      <c r="E642" s="1"/>
    </row>
    <row r="643" ht="15.75" customHeight="1">
      <c r="A643" s="1"/>
      <c r="B643" s="1"/>
      <c r="C643" s="1"/>
      <c r="D643" s="1"/>
      <c r="E643" s="1"/>
    </row>
    <row r="644" ht="15.75" customHeight="1">
      <c r="A644" s="1"/>
      <c r="B644" s="1"/>
      <c r="C644" s="1"/>
      <c r="D644" s="1"/>
      <c r="E644" s="1"/>
    </row>
    <row r="645" ht="15.75" customHeight="1">
      <c r="A645" s="1"/>
      <c r="B645" s="1"/>
      <c r="C645" s="1"/>
      <c r="D645" s="1"/>
      <c r="E645" s="1"/>
    </row>
    <row r="646" ht="15.75" customHeight="1">
      <c r="A646" s="1"/>
      <c r="B646" s="1"/>
      <c r="C646" s="1"/>
      <c r="D646" s="1"/>
      <c r="E646" s="1"/>
    </row>
    <row r="647" ht="15.75" customHeight="1">
      <c r="A647" s="1"/>
      <c r="B647" s="1"/>
      <c r="C647" s="1"/>
      <c r="D647" s="1"/>
      <c r="E647" s="1"/>
    </row>
    <row r="648" ht="15.75" customHeight="1">
      <c r="A648" s="1"/>
      <c r="B648" s="1"/>
      <c r="C648" s="1"/>
      <c r="D648" s="1"/>
      <c r="E648" s="1"/>
    </row>
    <row r="649" ht="15.75" customHeight="1">
      <c r="A649" s="1"/>
      <c r="B649" s="1"/>
      <c r="C649" s="1"/>
      <c r="D649" s="1"/>
      <c r="E649" s="1"/>
    </row>
    <row r="650" ht="15.75" customHeight="1">
      <c r="A650" s="1"/>
      <c r="B650" s="1"/>
      <c r="C650" s="1"/>
      <c r="D650" s="1"/>
      <c r="E650" s="1"/>
    </row>
    <row r="651" ht="15.75" customHeight="1">
      <c r="A651" s="1"/>
      <c r="B651" s="1"/>
      <c r="C651" s="1"/>
      <c r="D651" s="1"/>
      <c r="E651" s="1"/>
    </row>
    <row r="652" ht="15.75" customHeight="1">
      <c r="A652" s="1"/>
      <c r="B652" s="1"/>
      <c r="C652" s="1"/>
      <c r="D652" s="1"/>
      <c r="E652" s="1"/>
    </row>
    <row r="653" ht="15.75" customHeight="1">
      <c r="A653" s="1"/>
      <c r="B653" s="1"/>
      <c r="C653" s="1"/>
      <c r="D653" s="1"/>
      <c r="E653" s="1"/>
    </row>
    <row r="654" ht="15.75" customHeight="1">
      <c r="A654" s="1"/>
      <c r="B654" s="1"/>
      <c r="C654" s="1"/>
      <c r="D654" s="1"/>
      <c r="E654" s="1"/>
    </row>
    <row r="655" ht="15.75" customHeight="1">
      <c r="A655" s="1"/>
      <c r="B655" s="1"/>
      <c r="C655" s="1"/>
      <c r="D655" s="1"/>
      <c r="E655" s="1"/>
    </row>
    <row r="656" ht="15.75" customHeight="1">
      <c r="A656" s="1"/>
      <c r="B656" s="1"/>
      <c r="C656" s="1"/>
      <c r="D656" s="1"/>
      <c r="E656" s="1"/>
    </row>
    <row r="657" ht="15.75" customHeight="1">
      <c r="A657" s="1"/>
      <c r="B657" s="1"/>
      <c r="C657" s="1"/>
      <c r="D657" s="1"/>
      <c r="E657" s="1"/>
    </row>
    <row r="658" ht="15.75" customHeight="1">
      <c r="A658" s="1"/>
      <c r="B658" s="1"/>
      <c r="C658" s="1"/>
      <c r="D658" s="1"/>
      <c r="E658" s="1"/>
    </row>
    <row r="659" ht="15.75" customHeight="1">
      <c r="A659" s="1"/>
      <c r="B659" s="1"/>
      <c r="C659" s="1"/>
      <c r="D659" s="1"/>
      <c r="E659" s="1"/>
    </row>
    <row r="660" ht="15.75" customHeight="1">
      <c r="A660" s="1"/>
      <c r="B660" s="1"/>
      <c r="C660" s="1"/>
      <c r="D660" s="1"/>
      <c r="E660" s="1"/>
    </row>
    <row r="661" ht="15.75" customHeight="1">
      <c r="A661" s="1"/>
      <c r="B661" s="1"/>
      <c r="C661" s="1"/>
      <c r="D661" s="1"/>
      <c r="E661" s="1"/>
    </row>
    <row r="662" ht="15.75" customHeight="1">
      <c r="A662" s="1"/>
      <c r="B662" s="1"/>
      <c r="C662" s="1"/>
      <c r="D662" s="1"/>
      <c r="E662" s="1"/>
    </row>
    <row r="663" ht="15.75" customHeight="1">
      <c r="A663" s="1"/>
      <c r="B663" s="1"/>
      <c r="C663" s="1"/>
      <c r="D663" s="1"/>
      <c r="E663" s="1"/>
    </row>
    <row r="664" ht="15.75" customHeight="1">
      <c r="A664" s="1"/>
      <c r="B664" s="1"/>
      <c r="C664" s="1"/>
      <c r="D664" s="1"/>
      <c r="E664" s="1"/>
    </row>
    <row r="665" ht="15.75" customHeight="1">
      <c r="A665" s="1"/>
      <c r="B665" s="1"/>
      <c r="C665" s="1"/>
      <c r="D665" s="1"/>
      <c r="E665" s="1"/>
    </row>
    <row r="666" ht="15.75" customHeight="1">
      <c r="A666" s="1"/>
      <c r="B666" s="1"/>
      <c r="C666" s="1"/>
      <c r="D666" s="1"/>
      <c r="E666" s="1"/>
    </row>
    <row r="667" ht="15.75" customHeight="1">
      <c r="A667" s="1"/>
      <c r="B667" s="1"/>
      <c r="C667" s="1"/>
      <c r="D667" s="1"/>
      <c r="E667" s="1"/>
    </row>
    <row r="668" ht="15.75" customHeight="1">
      <c r="A668" s="1"/>
      <c r="B668" s="1"/>
      <c r="C668" s="1"/>
      <c r="D668" s="1"/>
      <c r="E668" s="1"/>
    </row>
    <row r="669" ht="15.75" customHeight="1">
      <c r="A669" s="1"/>
      <c r="B669" s="1"/>
      <c r="C669" s="1"/>
      <c r="D669" s="1"/>
      <c r="E669" s="1"/>
    </row>
    <row r="670" ht="15.75" customHeight="1">
      <c r="A670" s="1"/>
      <c r="B670" s="1"/>
      <c r="C670" s="1"/>
      <c r="D670" s="1"/>
      <c r="E670" s="1"/>
    </row>
    <row r="671" ht="15.75" customHeight="1">
      <c r="A671" s="1"/>
      <c r="B671" s="1"/>
      <c r="C671" s="1"/>
      <c r="D671" s="1"/>
      <c r="E671" s="1"/>
    </row>
    <row r="672" ht="15.75" customHeight="1">
      <c r="A672" s="1"/>
      <c r="B672" s="1"/>
      <c r="C672" s="1"/>
      <c r="D672" s="1"/>
      <c r="E672" s="1"/>
    </row>
    <row r="673" ht="15.75" customHeight="1">
      <c r="A673" s="1"/>
      <c r="B673" s="1"/>
      <c r="C673" s="1"/>
      <c r="D673" s="1"/>
      <c r="E673" s="1"/>
    </row>
    <row r="674" ht="15.75" customHeight="1">
      <c r="A674" s="1"/>
      <c r="B674" s="1"/>
      <c r="C674" s="1"/>
      <c r="D674" s="1"/>
      <c r="E674" s="1"/>
    </row>
    <row r="675" ht="15.75" customHeight="1">
      <c r="A675" s="1"/>
      <c r="B675" s="1"/>
      <c r="C675" s="1"/>
      <c r="D675" s="1"/>
      <c r="E675" s="1"/>
    </row>
    <row r="676" ht="15.75" customHeight="1">
      <c r="A676" s="1"/>
      <c r="B676" s="1"/>
      <c r="C676" s="1"/>
      <c r="D676" s="1"/>
      <c r="E676" s="1"/>
    </row>
    <row r="677" ht="15.75" customHeight="1">
      <c r="A677" s="1"/>
      <c r="B677" s="1"/>
      <c r="C677" s="1"/>
      <c r="D677" s="1"/>
      <c r="E677" s="1"/>
    </row>
    <row r="678" ht="15.75" customHeight="1">
      <c r="A678" s="1"/>
      <c r="B678" s="1"/>
      <c r="C678" s="1"/>
      <c r="D678" s="1"/>
      <c r="E678" s="1"/>
    </row>
    <row r="679" ht="15.75" customHeight="1">
      <c r="A679" s="1"/>
      <c r="B679" s="1"/>
      <c r="C679" s="1"/>
      <c r="D679" s="1"/>
      <c r="E679" s="1"/>
    </row>
    <row r="680" ht="15.75" customHeight="1">
      <c r="A680" s="1"/>
      <c r="B680" s="1"/>
      <c r="C680" s="1"/>
      <c r="D680" s="1"/>
      <c r="E680" s="1"/>
    </row>
    <row r="681" ht="15.75" customHeight="1">
      <c r="A681" s="1"/>
      <c r="B681" s="1"/>
      <c r="C681" s="1"/>
      <c r="D681" s="1"/>
      <c r="E681" s="1"/>
    </row>
    <row r="682" ht="15.75" customHeight="1">
      <c r="A682" s="1"/>
      <c r="B682" s="1"/>
      <c r="C682" s="1"/>
      <c r="D682" s="1"/>
      <c r="E682" s="1"/>
    </row>
    <row r="683" ht="15.75" customHeight="1">
      <c r="A683" s="1"/>
      <c r="B683" s="1"/>
      <c r="C683" s="1"/>
      <c r="D683" s="1"/>
      <c r="E683" s="1"/>
    </row>
    <row r="684" ht="15.75" customHeight="1">
      <c r="A684" s="1"/>
      <c r="B684" s="1"/>
      <c r="C684" s="1"/>
      <c r="D684" s="1"/>
      <c r="E684" s="1"/>
    </row>
    <row r="685" ht="15.75" customHeight="1">
      <c r="A685" s="1"/>
      <c r="B685" s="1"/>
      <c r="C685" s="1"/>
      <c r="D685" s="1"/>
      <c r="E685" s="1"/>
    </row>
    <row r="686" ht="15.75" customHeight="1">
      <c r="A686" s="1"/>
      <c r="B686" s="1"/>
      <c r="C686" s="1"/>
      <c r="D686" s="1"/>
      <c r="E686" s="1"/>
    </row>
    <row r="687" ht="15.75" customHeight="1">
      <c r="A687" s="1"/>
      <c r="B687" s="1"/>
      <c r="C687" s="1"/>
      <c r="D687" s="1"/>
      <c r="E687" s="1"/>
    </row>
    <row r="688" ht="15.75" customHeight="1">
      <c r="A688" s="1"/>
      <c r="B688" s="1"/>
      <c r="C688" s="1"/>
      <c r="D688" s="1"/>
      <c r="E688" s="1"/>
    </row>
    <row r="689" ht="15.75" customHeight="1">
      <c r="A689" s="1"/>
      <c r="B689" s="1"/>
      <c r="C689" s="1"/>
      <c r="D689" s="1"/>
      <c r="E689" s="1"/>
    </row>
    <row r="690" ht="15.75" customHeight="1">
      <c r="A690" s="1"/>
      <c r="B690" s="1"/>
      <c r="C690" s="1"/>
      <c r="D690" s="1"/>
      <c r="E690" s="1"/>
    </row>
    <row r="691" ht="15.75" customHeight="1">
      <c r="A691" s="1"/>
      <c r="B691" s="1"/>
      <c r="C691" s="1"/>
      <c r="D691" s="1"/>
      <c r="E691" s="1"/>
    </row>
    <row r="692" ht="15.75" customHeight="1">
      <c r="A692" s="1"/>
      <c r="B692" s="1"/>
      <c r="C692" s="1"/>
      <c r="D692" s="1"/>
      <c r="E692" s="1"/>
    </row>
    <row r="693" ht="15.75" customHeight="1">
      <c r="A693" s="1"/>
      <c r="B693" s="1"/>
      <c r="C693" s="1"/>
      <c r="D693" s="1"/>
      <c r="E693" s="1"/>
    </row>
    <row r="694" ht="15.75" customHeight="1">
      <c r="A694" s="1"/>
      <c r="B694" s="1"/>
      <c r="C694" s="1"/>
      <c r="D694" s="1"/>
      <c r="E694" s="1"/>
    </row>
    <row r="695" ht="15.75" customHeight="1">
      <c r="A695" s="1"/>
      <c r="B695" s="1"/>
      <c r="C695" s="1"/>
      <c r="D695" s="1"/>
      <c r="E695" s="1"/>
    </row>
    <row r="696" ht="15.75" customHeight="1">
      <c r="A696" s="1"/>
      <c r="B696" s="1"/>
      <c r="C696" s="1"/>
      <c r="D696" s="1"/>
      <c r="E696" s="1"/>
    </row>
    <row r="697" ht="15.75" customHeight="1">
      <c r="A697" s="1"/>
      <c r="B697" s="1"/>
      <c r="C697" s="1"/>
      <c r="D697" s="1"/>
      <c r="E697" s="1"/>
    </row>
    <row r="698" ht="15.75" customHeight="1">
      <c r="A698" s="1"/>
      <c r="B698" s="1"/>
      <c r="C698" s="1"/>
      <c r="D698" s="1"/>
      <c r="E698" s="1"/>
    </row>
    <row r="699" ht="15.75" customHeight="1">
      <c r="A699" s="1"/>
      <c r="B699" s="1"/>
      <c r="C699" s="1"/>
      <c r="D699" s="1"/>
      <c r="E699" s="1"/>
    </row>
    <row r="700" ht="15.75" customHeight="1">
      <c r="A700" s="1"/>
      <c r="B700" s="1"/>
      <c r="C700" s="1"/>
      <c r="D700" s="1"/>
      <c r="E700" s="1"/>
    </row>
    <row r="701" ht="15.75" customHeight="1">
      <c r="A701" s="1"/>
      <c r="B701" s="1"/>
      <c r="C701" s="1"/>
      <c r="D701" s="1"/>
      <c r="E701" s="1"/>
    </row>
    <row r="702" ht="15.75" customHeight="1">
      <c r="A702" s="1"/>
      <c r="B702" s="1"/>
      <c r="C702" s="1"/>
      <c r="D702" s="1"/>
      <c r="E702" s="1"/>
    </row>
    <row r="703" ht="15.75" customHeight="1">
      <c r="A703" s="1"/>
      <c r="B703" s="1"/>
      <c r="C703" s="1"/>
      <c r="D703" s="1"/>
      <c r="E703" s="1"/>
    </row>
    <row r="704" ht="15.75" customHeight="1">
      <c r="A704" s="1"/>
      <c r="B704" s="1"/>
      <c r="C704" s="1"/>
      <c r="D704" s="1"/>
      <c r="E704" s="1"/>
    </row>
    <row r="705" ht="15.75" customHeight="1">
      <c r="A705" s="1"/>
      <c r="B705" s="1"/>
      <c r="C705" s="1"/>
      <c r="D705" s="1"/>
      <c r="E705" s="1"/>
    </row>
    <row r="706" ht="15.75" customHeight="1">
      <c r="A706" s="1"/>
      <c r="B706" s="1"/>
      <c r="C706" s="1"/>
      <c r="D706" s="1"/>
      <c r="E706" s="1"/>
    </row>
    <row r="707" ht="15.75" customHeight="1">
      <c r="A707" s="1"/>
      <c r="B707" s="1"/>
      <c r="C707" s="1"/>
      <c r="D707" s="1"/>
      <c r="E707" s="1"/>
    </row>
    <row r="708" ht="15.75" customHeight="1">
      <c r="A708" s="1"/>
      <c r="B708" s="1"/>
      <c r="C708" s="1"/>
      <c r="D708" s="1"/>
      <c r="E708" s="1"/>
    </row>
    <row r="709" ht="15.75" customHeight="1">
      <c r="A709" s="1"/>
      <c r="B709" s="1"/>
      <c r="C709" s="1"/>
      <c r="D709" s="1"/>
      <c r="E709" s="1"/>
    </row>
    <row r="710" ht="15.75" customHeight="1">
      <c r="A710" s="1"/>
      <c r="B710" s="1"/>
      <c r="C710" s="1"/>
      <c r="D710" s="1"/>
      <c r="E710" s="1"/>
    </row>
    <row r="711" ht="15.75" customHeight="1">
      <c r="A711" s="1"/>
      <c r="B711" s="1"/>
      <c r="C711" s="1"/>
      <c r="D711" s="1"/>
      <c r="E711" s="1"/>
    </row>
    <row r="712" ht="15.75" customHeight="1">
      <c r="A712" s="1"/>
      <c r="B712" s="1"/>
      <c r="C712" s="1"/>
      <c r="D712" s="1"/>
      <c r="E712" s="1"/>
    </row>
    <row r="713" ht="15.75" customHeight="1">
      <c r="A713" s="1"/>
      <c r="B713" s="1"/>
      <c r="C713" s="1"/>
      <c r="D713" s="1"/>
      <c r="E713" s="1"/>
    </row>
    <row r="714" ht="15.75" customHeight="1">
      <c r="A714" s="1"/>
      <c r="B714" s="1"/>
      <c r="C714" s="1"/>
      <c r="D714" s="1"/>
      <c r="E714" s="1"/>
    </row>
    <row r="715" ht="15.75" customHeight="1">
      <c r="A715" s="1"/>
      <c r="B715" s="1"/>
      <c r="C715" s="1"/>
      <c r="D715" s="1"/>
      <c r="E715" s="1"/>
    </row>
    <row r="716" ht="15.75" customHeight="1">
      <c r="A716" s="1"/>
      <c r="B716" s="1"/>
      <c r="C716" s="1"/>
      <c r="D716" s="1"/>
      <c r="E716" s="1"/>
    </row>
    <row r="717" ht="15.75" customHeight="1">
      <c r="A717" s="1"/>
      <c r="B717" s="1"/>
      <c r="C717" s="1"/>
      <c r="D717" s="1"/>
      <c r="E717" s="1"/>
    </row>
    <row r="718" ht="15.75" customHeight="1">
      <c r="A718" s="1"/>
      <c r="B718" s="1"/>
      <c r="C718" s="1"/>
      <c r="D718" s="1"/>
      <c r="E718" s="1"/>
    </row>
    <row r="719" ht="15.75" customHeight="1">
      <c r="A719" s="1"/>
      <c r="B719" s="1"/>
      <c r="C719" s="1"/>
      <c r="D719" s="1"/>
      <c r="E719" s="1"/>
    </row>
    <row r="720" ht="15.75" customHeight="1">
      <c r="A720" s="1"/>
      <c r="B720" s="1"/>
      <c r="C720" s="1"/>
      <c r="D720" s="1"/>
      <c r="E720" s="1"/>
    </row>
    <row r="721" ht="15.75" customHeight="1">
      <c r="A721" s="1"/>
      <c r="B721" s="1"/>
      <c r="C721" s="1"/>
      <c r="D721" s="1"/>
      <c r="E721" s="1"/>
    </row>
    <row r="722" ht="15.75" customHeight="1">
      <c r="A722" s="1"/>
      <c r="B722" s="1"/>
      <c r="C722" s="1"/>
      <c r="D722" s="1"/>
      <c r="E722" s="1"/>
    </row>
    <row r="723" ht="15.75" customHeight="1">
      <c r="A723" s="1"/>
      <c r="B723" s="1"/>
      <c r="C723" s="1"/>
      <c r="D723" s="1"/>
      <c r="E723" s="1"/>
    </row>
    <row r="724" ht="15.75" customHeight="1">
      <c r="A724" s="1"/>
      <c r="B724" s="1"/>
      <c r="C724" s="1"/>
      <c r="D724" s="1"/>
      <c r="E724" s="1"/>
    </row>
    <row r="725" ht="15.75" customHeight="1">
      <c r="A725" s="1"/>
      <c r="B725" s="1"/>
      <c r="C725" s="1"/>
      <c r="D725" s="1"/>
      <c r="E725" s="1"/>
    </row>
    <row r="726" ht="15.75" customHeight="1">
      <c r="A726" s="1"/>
      <c r="B726" s="1"/>
      <c r="C726" s="1"/>
      <c r="D726" s="1"/>
      <c r="E726" s="1"/>
    </row>
    <row r="727" ht="15.75" customHeight="1">
      <c r="A727" s="1"/>
      <c r="B727" s="1"/>
      <c r="C727" s="1"/>
      <c r="D727" s="1"/>
      <c r="E727" s="1"/>
    </row>
    <row r="728" ht="15.75" customHeight="1">
      <c r="A728" s="1"/>
      <c r="B728" s="1"/>
      <c r="C728" s="1"/>
      <c r="D728" s="1"/>
      <c r="E728" s="1"/>
    </row>
    <row r="729" ht="15.75" customHeight="1">
      <c r="A729" s="1"/>
      <c r="B729" s="1"/>
      <c r="C729" s="1"/>
      <c r="D729" s="1"/>
      <c r="E729" s="1"/>
    </row>
    <row r="730" ht="15.75" customHeight="1">
      <c r="A730" s="1"/>
      <c r="B730" s="1"/>
      <c r="C730" s="1"/>
      <c r="D730" s="1"/>
      <c r="E730" s="1"/>
    </row>
    <row r="731" ht="15.75" customHeight="1">
      <c r="A731" s="1"/>
      <c r="B731" s="1"/>
      <c r="C731" s="1"/>
      <c r="D731" s="1"/>
      <c r="E731" s="1"/>
    </row>
    <row r="732" ht="15.75" customHeight="1">
      <c r="A732" s="1"/>
      <c r="B732" s="1"/>
      <c r="C732" s="1"/>
      <c r="D732" s="1"/>
      <c r="E732" s="1"/>
    </row>
    <row r="733" ht="15.75" customHeight="1">
      <c r="A733" s="1"/>
      <c r="B733" s="1"/>
      <c r="C733" s="1"/>
      <c r="D733" s="1"/>
      <c r="E733" s="1"/>
    </row>
    <row r="734" ht="15.75" customHeight="1">
      <c r="A734" s="1"/>
      <c r="B734" s="1"/>
      <c r="C734" s="1"/>
      <c r="D734" s="1"/>
      <c r="E734" s="1"/>
    </row>
    <row r="735" ht="15.75" customHeight="1">
      <c r="A735" s="1"/>
      <c r="B735" s="1"/>
      <c r="C735" s="1"/>
      <c r="D735" s="1"/>
      <c r="E735" s="1"/>
    </row>
    <row r="736" ht="15.75" customHeight="1">
      <c r="A736" s="1"/>
      <c r="B736" s="1"/>
      <c r="C736" s="1"/>
      <c r="D736" s="1"/>
      <c r="E736" s="1"/>
    </row>
    <row r="737" ht="15.75" customHeight="1">
      <c r="A737" s="1"/>
      <c r="B737" s="1"/>
      <c r="C737" s="1"/>
      <c r="D737" s="1"/>
      <c r="E737" s="1"/>
    </row>
    <row r="738" ht="15.75" customHeight="1">
      <c r="A738" s="1"/>
      <c r="B738" s="1"/>
      <c r="C738" s="1"/>
      <c r="D738" s="1"/>
      <c r="E738" s="1"/>
    </row>
    <row r="739" ht="15.75" customHeight="1">
      <c r="A739" s="1"/>
      <c r="B739" s="1"/>
      <c r="C739" s="1"/>
      <c r="D739" s="1"/>
      <c r="E739" s="1"/>
    </row>
    <row r="740" ht="15.75" customHeight="1">
      <c r="A740" s="1"/>
      <c r="B740" s="1"/>
      <c r="C740" s="1"/>
      <c r="D740" s="1"/>
      <c r="E740" s="1"/>
    </row>
    <row r="741" ht="15.75" customHeight="1">
      <c r="A741" s="1"/>
      <c r="B741" s="1"/>
      <c r="C741" s="1"/>
      <c r="D741" s="1"/>
      <c r="E741" s="1"/>
    </row>
    <row r="742" ht="15.75" customHeight="1">
      <c r="A742" s="1"/>
      <c r="B742" s="1"/>
      <c r="C742" s="1"/>
      <c r="D742" s="1"/>
      <c r="E742" s="1"/>
    </row>
    <row r="743" ht="15.75" customHeight="1">
      <c r="A743" s="1"/>
      <c r="B743" s="1"/>
      <c r="C743" s="1"/>
      <c r="D743" s="1"/>
      <c r="E743" s="1"/>
    </row>
    <row r="744" ht="15.75" customHeight="1">
      <c r="A744" s="1"/>
      <c r="B744" s="1"/>
      <c r="C744" s="1"/>
      <c r="D744" s="1"/>
      <c r="E744" s="1"/>
    </row>
    <row r="745" ht="15.75" customHeight="1">
      <c r="A745" s="1"/>
      <c r="B745" s="1"/>
      <c r="C745" s="1"/>
      <c r="D745" s="1"/>
      <c r="E745" s="1"/>
    </row>
    <row r="746" ht="15.75" customHeight="1">
      <c r="A746" s="1"/>
      <c r="B746" s="1"/>
      <c r="C746" s="1"/>
      <c r="D746" s="1"/>
      <c r="E746" s="1"/>
    </row>
    <row r="747" ht="15.75" customHeight="1">
      <c r="A747" s="1"/>
      <c r="B747" s="1"/>
      <c r="C747" s="1"/>
      <c r="D747" s="1"/>
      <c r="E747" s="1"/>
    </row>
    <row r="748" ht="15.75" customHeight="1">
      <c r="A748" s="1"/>
      <c r="B748" s="1"/>
      <c r="C748" s="1"/>
      <c r="D748" s="1"/>
      <c r="E748" s="1"/>
    </row>
    <row r="749" ht="15.75" customHeight="1">
      <c r="A749" s="1"/>
      <c r="B749" s="1"/>
      <c r="C749" s="1"/>
      <c r="D749" s="1"/>
      <c r="E749" s="1"/>
    </row>
    <row r="750" ht="15.75" customHeight="1">
      <c r="A750" s="1"/>
      <c r="B750" s="1"/>
      <c r="C750" s="1"/>
      <c r="D750" s="1"/>
      <c r="E750" s="1"/>
    </row>
    <row r="751" ht="15.75" customHeight="1">
      <c r="A751" s="1"/>
      <c r="B751" s="1"/>
      <c r="C751" s="1"/>
      <c r="D751" s="1"/>
      <c r="E751" s="1"/>
    </row>
    <row r="752" ht="15.75" customHeight="1">
      <c r="A752" s="1"/>
      <c r="B752" s="1"/>
      <c r="C752" s="1"/>
      <c r="D752" s="1"/>
      <c r="E752" s="1"/>
    </row>
    <row r="753" ht="15.75" customHeight="1">
      <c r="A753" s="1"/>
      <c r="B753" s="1"/>
      <c r="C753" s="1"/>
      <c r="D753" s="1"/>
      <c r="E753" s="1"/>
    </row>
    <row r="754" ht="15.75" customHeight="1">
      <c r="A754" s="1"/>
      <c r="B754" s="1"/>
      <c r="C754" s="1"/>
      <c r="D754" s="1"/>
      <c r="E754" s="1"/>
    </row>
    <row r="755" ht="15.75" customHeight="1">
      <c r="A755" s="1"/>
      <c r="B755" s="1"/>
      <c r="C755" s="1"/>
      <c r="D755" s="1"/>
      <c r="E755" s="1"/>
    </row>
    <row r="756" ht="15.75" customHeight="1">
      <c r="A756" s="1"/>
      <c r="B756" s="1"/>
      <c r="C756" s="1"/>
      <c r="D756" s="1"/>
      <c r="E756" s="1"/>
    </row>
    <row r="757" ht="15.75" customHeight="1">
      <c r="A757" s="1"/>
      <c r="B757" s="1"/>
      <c r="C757" s="1"/>
      <c r="D757" s="1"/>
      <c r="E757" s="1"/>
    </row>
    <row r="758" ht="15.75" customHeight="1">
      <c r="A758" s="1"/>
      <c r="B758" s="1"/>
      <c r="C758" s="1"/>
      <c r="D758" s="1"/>
      <c r="E758" s="1"/>
    </row>
    <row r="759" ht="15.75" customHeight="1">
      <c r="A759" s="1"/>
      <c r="B759" s="1"/>
      <c r="C759" s="1"/>
      <c r="D759" s="1"/>
      <c r="E759" s="1"/>
    </row>
    <row r="760" ht="15.75" customHeight="1">
      <c r="A760" s="1"/>
      <c r="B760" s="1"/>
      <c r="C760" s="1"/>
      <c r="D760" s="1"/>
      <c r="E760" s="1"/>
    </row>
    <row r="761" ht="15.75" customHeight="1">
      <c r="A761" s="1"/>
      <c r="B761" s="1"/>
      <c r="C761" s="1"/>
      <c r="D761" s="1"/>
      <c r="E761" s="1"/>
    </row>
    <row r="762" ht="15.75" customHeight="1">
      <c r="A762" s="1"/>
      <c r="B762" s="1"/>
      <c r="C762" s="1"/>
      <c r="D762" s="1"/>
      <c r="E762" s="1"/>
    </row>
    <row r="763" ht="15.75" customHeight="1">
      <c r="A763" s="1"/>
      <c r="B763" s="1"/>
      <c r="C763" s="1"/>
      <c r="D763" s="1"/>
      <c r="E763" s="1"/>
    </row>
    <row r="764" ht="15.75" customHeight="1">
      <c r="A764" s="1"/>
      <c r="B764" s="1"/>
      <c r="C764" s="1"/>
      <c r="D764" s="1"/>
      <c r="E764" s="1"/>
    </row>
    <row r="765" ht="15.75" customHeight="1">
      <c r="A765" s="1"/>
      <c r="B765" s="1"/>
      <c r="C765" s="1"/>
      <c r="D765" s="1"/>
      <c r="E765" s="1"/>
    </row>
    <row r="766" ht="15.75" customHeight="1">
      <c r="A766" s="1"/>
      <c r="B766" s="1"/>
      <c r="C766" s="1"/>
      <c r="D766" s="1"/>
      <c r="E766" s="1"/>
    </row>
    <row r="767" ht="15.75" customHeight="1">
      <c r="A767" s="1"/>
      <c r="B767" s="1"/>
      <c r="C767" s="1"/>
      <c r="D767" s="1"/>
      <c r="E767" s="1"/>
    </row>
    <row r="768" ht="15.75" customHeight="1">
      <c r="A768" s="1"/>
      <c r="B768" s="1"/>
      <c r="C768" s="1"/>
      <c r="D768" s="1"/>
      <c r="E768" s="1"/>
    </row>
    <row r="769" ht="15.75" customHeight="1">
      <c r="A769" s="1"/>
      <c r="B769" s="1"/>
      <c r="C769" s="1"/>
      <c r="D769" s="1"/>
      <c r="E769" s="1"/>
    </row>
    <row r="770" ht="15.75" customHeight="1">
      <c r="A770" s="1"/>
      <c r="B770" s="1"/>
      <c r="C770" s="1"/>
      <c r="D770" s="1"/>
      <c r="E770" s="1"/>
    </row>
    <row r="771" ht="15.75" customHeight="1">
      <c r="A771" s="1"/>
      <c r="B771" s="1"/>
      <c r="C771" s="1"/>
      <c r="D771" s="1"/>
      <c r="E771" s="1"/>
    </row>
    <row r="772" ht="15.75" customHeight="1">
      <c r="A772" s="1"/>
      <c r="B772" s="1"/>
      <c r="C772" s="1"/>
      <c r="D772" s="1"/>
      <c r="E772" s="1"/>
    </row>
    <row r="773" ht="15.75" customHeight="1">
      <c r="A773" s="1"/>
      <c r="B773" s="1"/>
      <c r="C773" s="1"/>
      <c r="D773" s="1"/>
      <c r="E773" s="1"/>
    </row>
    <row r="774" ht="15.75" customHeight="1">
      <c r="A774" s="1"/>
      <c r="B774" s="1"/>
      <c r="C774" s="1"/>
      <c r="D774" s="1"/>
      <c r="E774" s="1"/>
    </row>
    <row r="775" ht="15.75" customHeight="1">
      <c r="A775" s="1"/>
      <c r="B775" s="1"/>
      <c r="C775" s="1"/>
      <c r="D775" s="1"/>
      <c r="E775" s="1"/>
    </row>
    <row r="776" ht="15.75" customHeight="1">
      <c r="A776" s="1"/>
      <c r="B776" s="1"/>
      <c r="C776" s="1"/>
      <c r="D776" s="1"/>
      <c r="E776" s="1"/>
    </row>
    <row r="777" ht="15.75" customHeight="1">
      <c r="A777" s="1"/>
      <c r="B777" s="1"/>
      <c r="C777" s="1"/>
      <c r="D777" s="1"/>
      <c r="E777" s="1"/>
    </row>
    <row r="778" ht="15.75" customHeight="1">
      <c r="A778" s="1"/>
      <c r="B778" s="1"/>
      <c r="C778" s="1"/>
      <c r="D778" s="1"/>
      <c r="E778" s="1"/>
    </row>
    <row r="779" ht="15.75" customHeight="1">
      <c r="A779" s="1"/>
      <c r="B779" s="1"/>
      <c r="C779" s="1"/>
      <c r="D779" s="1"/>
      <c r="E779" s="1"/>
    </row>
    <row r="780" ht="15.75" customHeight="1">
      <c r="A780" s="1"/>
      <c r="B780" s="1"/>
      <c r="C780" s="1"/>
      <c r="D780" s="1"/>
      <c r="E780" s="1"/>
    </row>
    <row r="781" ht="15.75" customHeight="1">
      <c r="A781" s="1"/>
      <c r="B781" s="1"/>
      <c r="C781" s="1"/>
      <c r="D781" s="1"/>
      <c r="E781" s="1"/>
    </row>
    <row r="782" ht="15.75" customHeight="1">
      <c r="A782" s="1"/>
      <c r="B782" s="1"/>
      <c r="C782" s="1"/>
      <c r="D782" s="1"/>
      <c r="E782" s="1"/>
    </row>
    <row r="783" ht="15.75" customHeight="1">
      <c r="A783" s="1"/>
      <c r="B783" s="1"/>
      <c r="C783" s="1"/>
      <c r="D783" s="1"/>
      <c r="E783" s="1"/>
    </row>
    <row r="784" ht="15.75" customHeight="1">
      <c r="A784" s="1"/>
      <c r="B784" s="1"/>
      <c r="C784" s="1"/>
      <c r="D784" s="1"/>
      <c r="E784" s="1"/>
    </row>
    <row r="785" ht="15.75" customHeight="1">
      <c r="A785" s="1"/>
      <c r="B785" s="1"/>
      <c r="C785" s="1"/>
      <c r="D785" s="1"/>
      <c r="E785" s="1"/>
    </row>
    <row r="786" ht="15.75" customHeight="1">
      <c r="A786" s="1"/>
      <c r="B786" s="1"/>
      <c r="C786" s="1"/>
      <c r="D786" s="1"/>
      <c r="E786" s="1"/>
    </row>
    <row r="787" ht="15.75" customHeight="1">
      <c r="A787" s="1"/>
      <c r="B787" s="1"/>
      <c r="C787" s="1"/>
      <c r="D787" s="1"/>
      <c r="E787" s="1"/>
    </row>
    <row r="788" ht="15.75" customHeight="1">
      <c r="A788" s="1"/>
      <c r="B788" s="1"/>
      <c r="C788" s="1"/>
      <c r="D788" s="1"/>
      <c r="E788" s="1"/>
    </row>
    <row r="789" ht="15.75" customHeight="1">
      <c r="A789" s="1"/>
      <c r="B789" s="1"/>
      <c r="C789" s="1"/>
      <c r="D789" s="1"/>
      <c r="E789" s="1"/>
    </row>
    <row r="790" ht="15.75" customHeight="1">
      <c r="A790" s="1"/>
      <c r="B790" s="1"/>
      <c r="C790" s="1"/>
      <c r="D790" s="1"/>
      <c r="E790" s="1"/>
    </row>
    <row r="791" ht="15.75" customHeight="1">
      <c r="A791" s="1"/>
      <c r="B791" s="1"/>
      <c r="C791" s="1"/>
      <c r="D791" s="1"/>
      <c r="E791" s="1"/>
    </row>
    <row r="792" ht="15.75" customHeight="1">
      <c r="A792" s="1"/>
      <c r="B792" s="1"/>
      <c r="C792" s="1"/>
      <c r="D792" s="1"/>
      <c r="E792" s="1"/>
    </row>
    <row r="793" ht="15.75" customHeight="1">
      <c r="A793" s="1"/>
      <c r="B793" s="1"/>
      <c r="C793" s="1"/>
      <c r="D793" s="1"/>
      <c r="E793" s="1"/>
    </row>
    <row r="794" ht="15.75" customHeight="1">
      <c r="A794" s="1"/>
      <c r="B794" s="1"/>
      <c r="C794" s="1"/>
      <c r="D794" s="1"/>
      <c r="E794" s="1"/>
    </row>
    <row r="795" ht="15.75" customHeight="1">
      <c r="A795" s="1"/>
      <c r="B795" s="1"/>
      <c r="C795" s="1"/>
      <c r="D795" s="1"/>
      <c r="E795" s="1"/>
    </row>
    <row r="796" ht="15.75" customHeight="1">
      <c r="A796" s="1"/>
      <c r="B796" s="1"/>
      <c r="C796" s="1"/>
      <c r="D796" s="1"/>
      <c r="E796" s="1"/>
    </row>
    <row r="797" ht="15.75" customHeight="1">
      <c r="A797" s="1"/>
      <c r="B797" s="1"/>
      <c r="C797" s="1"/>
      <c r="D797" s="1"/>
      <c r="E797" s="1"/>
    </row>
    <row r="798" ht="15.75" customHeight="1">
      <c r="A798" s="1"/>
      <c r="B798" s="1"/>
      <c r="C798" s="1"/>
      <c r="D798" s="1"/>
      <c r="E798" s="1"/>
    </row>
    <row r="799" ht="15.75" customHeight="1">
      <c r="A799" s="1"/>
      <c r="B799" s="1"/>
      <c r="C799" s="1"/>
      <c r="D799" s="1"/>
      <c r="E799" s="1"/>
    </row>
    <row r="800" ht="15.75" customHeight="1">
      <c r="A800" s="1"/>
      <c r="B800" s="1"/>
      <c r="C800" s="1"/>
      <c r="D800" s="1"/>
      <c r="E800" s="1"/>
    </row>
    <row r="801" ht="15.75" customHeight="1">
      <c r="A801" s="1"/>
      <c r="B801" s="1"/>
      <c r="C801" s="1"/>
      <c r="D801" s="1"/>
      <c r="E801" s="1"/>
    </row>
    <row r="802" ht="15.75" customHeight="1">
      <c r="A802" s="1"/>
      <c r="B802" s="1"/>
      <c r="C802" s="1"/>
      <c r="D802" s="1"/>
      <c r="E802" s="1"/>
    </row>
    <row r="803" ht="15.75" customHeight="1">
      <c r="A803" s="1"/>
      <c r="B803" s="1"/>
      <c r="C803" s="1"/>
      <c r="D803" s="1"/>
      <c r="E803" s="1"/>
    </row>
    <row r="804" ht="15.75" customHeight="1">
      <c r="A804" s="1"/>
      <c r="B804" s="1"/>
      <c r="C804" s="1"/>
      <c r="D804" s="1"/>
      <c r="E804" s="1"/>
    </row>
    <row r="805" ht="15.75" customHeight="1">
      <c r="A805" s="1"/>
      <c r="B805" s="1"/>
      <c r="C805" s="1"/>
      <c r="D805" s="1"/>
      <c r="E805" s="1"/>
    </row>
    <row r="806" ht="15.75" customHeight="1">
      <c r="A806" s="1"/>
      <c r="B806" s="1"/>
      <c r="C806" s="1"/>
      <c r="D806" s="1"/>
      <c r="E806" s="1"/>
    </row>
    <row r="807" ht="15.75" customHeight="1">
      <c r="A807" s="1"/>
      <c r="B807" s="1"/>
      <c r="C807" s="1"/>
      <c r="D807" s="1"/>
      <c r="E807" s="1"/>
    </row>
    <row r="808" ht="15.75" customHeight="1">
      <c r="A808" s="1"/>
      <c r="B808" s="1"/>
      <c r="C808" s="1"/>
      <c r="D808" s="1"/>
      <c r="E808" s="1"/>
    </row>
    <row r="809" ht="15.75" customHeight="1">
      <c r="A809" s="1"/>
      <c r="B809" s="1"/>
      <c r="C809" s="1"/>
      <c r="D809" s="1"/>
      <c r="E809" s="1"/>
    </row>
    <row r="810" ht="15.75" customHeight="1">
      <c r="A810" s="1"/>
      <c r="B810" s="1"/>
      <c r="C810" s="1"/>
      <c r="D810" s="1"/>
      <c r="E810" s="1"/>
    </row>
    <row r="811" ht="15.75" customHeight="1">
      <c r="A811" s="1"/>
      <c r="B811" s="1"/>
      <c r="C811" s="1"/>
      <c r="D811" s="1"/>
      <c r="E811" s="1"/>
    </row>
    <row r="812" ht="15.75" customHeight="1">
      <c r="A812" s="1"/>
      <c r="B812" s="1"/>
      <c r="C812" s="1"/>
      <c r="D812" s="1"/>
      <c r="E812" s="1"/>
    </row>
    <row r="813" ht="15.75" customHeight="1">
      <c r="A813" s="1"/>
      <c r="B813" s="1"/>
      <c r="C813" s="1"/>
      <c r="D813" s="1"/>
      <c r="E813" s="1"/>
    </row>
    <row r="814" ht="15.75" customHeight="1">
      <c r="A814" s="1"/>
      <c r="B814" s="1"/>
      <c r="C814" s="1"/>
      <c r="D814" s="1"/>
      <c r="E814" s="1"/>
    </row>
    <row r="815" ht="15.75" customHeight="1">
      <c r="A815" s="1"/>
      <c r="B815" s="1"/>
      <c r="C815" s="1"/>
      <c r="D815" s="1"/>
      <c r="E815" s="1"/>
    </row>
    <row r="816" ht="15.75" customHeight="1">
      <c r="A816" s="1"/>
      <c r="B816" s="1"/>
      <c r="C816" s="1"/>
      <c r="D816" s="1"/>
      <c r="E816" s="1"/>
    </row>
    <row r="817" ht="15.75" customHeight="1">
      <c r="A817" s="1"/>
      <c r="B817" s="1"/>
      <c r="C817" s="1"/>
      <c r="D817" s="1"/>
      <c r="E817" s="1"/>
    </row>
    <row r="818" ht="15.75" customHeight="1">
      <c r="A818" s="1"/>
      <c r="B818" s="1"/>
      <c r="C818" s="1"/>
      <c r="D818" s="1"/>
      <c r="E818" s="1"/>
    </row>
    <row r="819" ht="15.75" customHeight="1">
      <c r="A819" s="1"/>
      <c r="B819" s="1"/>
      <c r="C819" s="1"/>
      <c r="D819" s="1"/>
      <c r="E819" s="1"/>
    </row>
    <row r="820" ht="15.75" customHeight="1">
      <c r="A820" s="1"/>
      <c r="B820" s="1"/>
      <c r="C820" s="1"/>
      <c r="D820" s="1"/>
      <c r="E820" s="1"/>
    </row>
    <row r="821" ht="15.75" customHeight="1">
      <c r="A821" s="1"/>
      <c r="B821" s="1"/>
      <c r="C821" s="1"/>
      <c r="D821" s="1"/>
      <c r="E821" s="1"/>
    </row>
    <row r="822" ht="15.75" customHeight="1">
      <c r="A822" s="1"/>
      <c r="B822" s="1"/>
      <c r="C822" s="1"/>
      <c r="D822" s="1"/>
      <c r="E822" s="1"/>
    </row>
    <row r="823" ht="15.75" customHeight="1">
      <c r="A823" s="1"/>
      <c r="B823" s="1"/>
      <c r="C823" s="1"/>
      <c r="D823" s="1"/>
      <c r="E823" s="1"/>
    </row>
    <row r="824" ht="15.75" customHeight="1">
      <c r="A824" s="1"/>
      <c r="B824" s="1"/>
      <c r="C824" s="1"/>
      <c r="D824" s="1"/>
      <c r="E824" s="1"/>
    </row>
    <row r="825" ht="15.75" customHeight="1">
      <c r="A825" s="1"/>
      <c r="B825" s="1"/>
      <c r="C825" s="1"/>
      <c r="D825" s="1"/>
      <c r="E825" s="1"/>
    </row>
    <row r="826" ht="15.75" customHeight="1">
      <c r="A826" s="1"/>
      <c r="B826" s="1"/>
      <c r="C826" s="1"/>
      <c r="D826" s="1"/>
      <c r="E826" s="1"/>
    </row>
    <row r="827" ht="15.75" customHeight="1">
      <c r="A827" s="1"/>
      <c r="B827" s="1"/>
      <c r="C827" s="1"/>
      <c r="D827" s="1"/>
      <c r="E827" s="1"/>
    </row>
    <row r="828" ht="15.75" customHeight="1">
      <c r="A828" s="1"/>
      <c r="B828" s="1"/>
      <c r="C828" s="1"/>
      <c r="D828" s="1"/>
      <c r="E828" s="1"/>
    </row>
    <row r="829" ht="15.75" customHeight="1">
      <c r="A829" s="1"/>
      <c r="B829" s="1"/>
      <c r="C829" s="1"/>
      <c r="D829" s="1"/>
      <c r="E829" s="1"/>
    </row>
    <row r="830" ht="15.75" customHeight="1">
      <c r="A830" s="1"/>
      <c r="B830" s="1"/>
      <c r="C830" s="1"/>
      <c r="D830" s="1"/>
      <c r="E830" s="1"/>
    </row>
    <row r="831" ht="15.75" customHeight="1">
      <c r="A831" s="1"/>
      <c r="B831" s="1"/>
      <c r="C831" s="1"/>
      <c r="D831" s="1"/>
      <c r="E831" s="1"/>
    </row>
    <row r="832" ht="15.75" customHeight="1">
      <c r="A832" s="1"/>
      <c r="B832" s="1"/>
      <c r="C832" s="1"/>
      <c r="D832" s="1"/>
      <c r="E832" s="1"/>
    </row>
    <row r="833" ht="15.75" customHeight="1">
      <c r="A833" s="1"/>
      <c r="B833" s="1"/>
      <c r="C833" s="1"/>
      <c r="D833" s="1"/>
      <c r="E833" s="1"/>
    </row>
    <row r="834" ht="15.75" customHeight="1">
      <c r="A834" s="1"/>
      <c r="B834" s="1"/>
      <c r="C834" s="1"/>
      <c r="D834" s="1"/>
      <c r="E834" s="1"/>
    </row>
    <row r="835" ht="15.75" customHeight="1">
      <c r="A835" s="1"/>
      <c r="B835" s="1"/>
      <c r="C835" s="1"/>
      <c r="D835" s="1"/>
      <c r="E835" s="1"/>
    </row>
    <row r="836" ht="15.75" customHeight="1">
      <c r="A836" s="1"/>
      <c r="B836" s="1"/>
      <c r="C836" s="1"/>
      <c r="D836" s="1"/>
      <c r="E836" s="1"/>
    </row>
    <row r="837" ht="15.75" customHeight="1">
      <c r="A837" s="1"/>
      <c r="B837" s="1"/>
      <c r="C837" s="1"/>
      <c r="D837" s="1"/>
      <c r="E837" s="1"/>
    </row>
    <row r="838" ht="15.75" customHeight="1">
      <c r="A838" s="1"/>
      <c r="B838" s="1"/>
      <c r="C838" s="1"/>
      <c r="D838" s="1"/>
      <c r="E838" s="1"/>
    </row>
    <row r="839" ht="15.75" customHeight="1">
      <c r="A839" s="1"/>
      <c r="B839" s="1"/>
      <c r="C839" s="1"/>
      <c r="D839" s="1"/>
      <c r="E839" s="1"/>
    </row>
    <row r="840" ht="15.75" customHeight="1">
      <c r="A840" s="1"/>
      <c r="B840" s="1"/>
      <c r="C840" s="1"/>
      <c r="D840" s="1"/>
      <c r="E840" s="1"/>
    </row>
    <row r="841" ht="15.75" customHeight="1">
      <c r="A841" s="1"/>
      <c r="B841" s="1"/>
      <c r="C841" s="1"/>
      <c r="D841" s="1"/>
      <c r="E841" s="1"/>
    </row>
    <row r="842" ht="15.75" customHeight="1">
      <c r="A842" s="1"/>
      <c r="B842" s="1"/>
      <c r="C842" s="1"/>
      <c r="D842" s="1"/>
      <c r="E842" s="1"/>
    </row>
    <row r="843" ht="15.75" customHeight="1">
      <c r="A843" s="1"/>
      <c r="B843" s="1"/>
      <c r="C843" s="1"/>
      <c r="D843" s="1"/>
      <c r="E843" s="1"/>
    </row>
    <row r="844" ht="15.75" customHeight="1">
      <c r="A844" s="1"/>
      <c r="B844" s="1"/>
      <c r="C844" s="1"/>
      <c r="D844" s="1"/>
      <c r="E844" s="1"/>
    </row>
    <row r="845" ht="15.75" customHeight="1">
      <c r="A845" s="1"/>
      <c r="B845" s="1"/>
      <c r="C845" s="1"/>
      <c r="D845" s="1"/>
      <c r="E845" s="1"/>
    </row>
    <row r="846" ht="15.75" customHeight="1">
      <c r="A846" s="1"/>
      <c r="B846" s="1"/>
      <c r="C846" s="1"/>
      <c r="D846" s="1"/>
      <c r="E846" s="1"/>
    </row>
    <row r="847" ht="15.75" customHeight="1">
      <c r="A847" s="1"/>
      <c r="B847" s="1"/>
      <c r="C847" s="1"/>
      <c r="D847" s="1"/>
      <c r="E847" s="1"/>
    </row>
    <row r="848" ht="15.75" customHeight="1">
      <c r="A848" s="1"/>
      <c r="B848" s="1"/>
      <c r="C848" s="1"/>
      <c r="D848" s="1"/>
      <c r="E848" s="1"/>
    </row>
    <row r="849" ht="15.75" customHeight="1">
      <c r="A849" s="1"/>
      <c r="B849" s="1"/>
      <c r="C849" s="1"/>
      <c r="D849" s="1"/>
      <c r="E849" s="1"/>
    </row>
    <row r="850" ht="15.75" customHeight="1">
      <c r="A850" s="1"/>
      <c r="B850" s="1"/>
      <c r="C850" s="1"/>
      <c r="D850" s="1"/>
      <c r="E850" s="1"/>
    </row>
    <row r="851" ht="15.75" customHeight="1">
      <c r="A851" s="1"/>
      <c r="B851" s="1"/>
      <c r="C851" s="1"/>
      <c r="D851" s="1"/>
      <c r="E851" s="1"/>
    </row>
    <row r="852" ht="15.75" customHeight="1">
      <c r="A852" s="1"/>
      <c r="B852" s="1"/>
      <c r="C852" s="1"/>
      <c r="D852" s="1"/>
      <c r="E852" s="1"/>
    </row>
    <row r="853" ht="15.75" customHeight="1">
      <c r="A853" s="1"/>
      <c r="B853" s="1"/>
      <c r="C853" s="1"/>
      <c r="D853" s="1"/>
      <c r="E853" s="1"/>
    </row>
    <row r="854" ht="15.75" customHeight="1">
      <c r="A854" s="1"/>
      <c r="B854" s="1"/>
      <c r="C854" s="1"/>
      <c r="D854" s="1"/>
      <c r="E854" s="1"/>
    </row>
    <row r="855" ht="15.75" customHeight="1">
      <c r="A855" s="1"/>
      <c r="B855" s="1"/>
      <c r="C855" s="1"/>
      <c r="D855" s="1"/>
      <c r="E855" s="1"/>
    </row>
    <row r="856" ht="15.75" customHeight="1">
      <c r="A856" s="1"/>
      <c r="B856" s="1"/>
      <c r="C856" s="1"/>
      <c r="D856" s="1"/>
      <c r="E856" s="1"/>
    </row>
    <row r="857" ht="15.75" customHeight="1">
      <c r="A857" s="1"/>
      <c r="B857" s="1"/>
      <c r="C857" s="1"/>
      <c r="D857" s="1"/>
      <c r="E857" s="1"/>
    </row>
    <row r="858" ht="15.75" customHeight="1">
      <c r="A858" s="1"/>
      <c r="B858" s="1"/>
      <c r="C858" s="1"/>
      <c r="D858" s="1"/>
      <c r="E858" s="1"/>
    </row>
    <row r="859" ht="15.75" customHeight="1">
      <c r="A859" s="1"/>
      <c r="B859" s="1"/>
      <c r="C859" s="1"/>
      <c r="D859" s="1"/>
      <c r="E859" s="1"/>
    </row>
    <row r="860" ht="15.75" customHeight="1">
      <c r="A860" s="1"/>
      <c r="B860" s="1"/>
      <c r="C860" s="1"/>
      <c r="D860" s="1"/>
      <c r="E860" s="1"/>
    </row>
    <row r="861" ht="15.75" customHeight="1">
      <c r="A861" s="1"/>
      <c r="B861" s="1"/>
      <c r="C861" s="1"/>
      <c r="D861" s="1"/>
      <c r="E861" s="1"/>
    </row>
    <row r="862" ht="15.75" customHeight="1">
      <c r="A862" s="1"/>
      <c r="B862" s="1"/>
      <c r="C862" s="1"/>
      <c r="D862" s="1"/>
      <c r="E862" s="1"/>
    </row>
    <row r="863" ht="15.75" customHeight="1">
      <c r="A863" s="1"/>
      <c r="B863" s="1"/>
      <c r="C863" s="1"/>
      <c r="D863" s="1"/>
      <c r="E863" s="1"/>
    </row>
    <row r="864" ht="15.75" customHeight="1">
      <c r="A864" s="1"/>
      <c r="B864" s="1"/>
      <c r="C864" s="1"/>
      <c r="D864" s="1"/>
      <c r="E864" s="1"/>
    </row>
    <row r="865" ht="15.75" customHeight="1">
      <c r="A865" s="1"/>
      <c r="B865" s="1"/>
      <c r="C865" s="1"/>
      <c r="D865" s="1"/>
      <c r="E865" s="1"/>
    </row>
    <row r="866" ht="15.75" customHeight="1">
      <c r="A866" s="1"/>
      <c r="B866" s="1"/>
      <c r="C866" s="1"/>
      <c r="D866" s="1"/>
      <c r="E866" s="1"/>
    </row>
    <row r="867" ht="15.75" customHeight="1">
      <c r="A867" s="1"/>
      <c r="B867" s="1"/>
      <c r="C867" s="1"/>
      <c r="D867" s="1"/>
      <c r="E867" s="1"/>
    </row>
    <row r="868" ht="15.75" customHeight="1">
      <c r="A868" s="1"/>
      <c r="B868" s="1"/>
      <c r="C868" s="1"/>
      <c r="D868" s="1"/>
      <c r="E868" s="1"/>
    </row>
    <row r="869" ht="15.75" customHeight="1">
      <c r="A869" s="1"/>
      <c r="B869" s="1"/>
      <c r="C869" s="1"/>
      <c r="D869" s="1"/>
      <c r="E869" s="1"/>
    </row>
    <row r="870" ht="15.75" customHeight="1">
      <c r="A870" s="1"/>
      <c r="B870" s="1"/>
      <c r="C870" s="1"/>
      <c r="D870" s="1"/>
      <c r="E870" s="1"/>
    </row>
    <row r="871" ht="15.75" customHeight="1">
      <c r="A871" s="1"/>
      <c r="B871" s="1"/>
      <c r="C871" s="1"/>
      <c r="D871" s="1"/>
      <c r="E871" s="1"/>
    </row>
    <row r="872" ht="15.75" customHeight="1">
      <c r="A872" s="1"/>
      <c r="B872" s="1"/>
      <c r="C872" s="1"/>
      <c r="D872" s="1"/>
      <c r="E872" s="1"/>
    </row>
    <row r="873" ht="15.75" customHeight="1">
      <c r="A873" s="1"/>
      <c r="B873" s="1"/>
      <c r="C873" s="1"/>
      <c r="D873" s="1"/>
      <c r="E873" s="1"/>
    </row>
    <row r="874" ht="15.75" customHeight="1">
      <c r="A874" s="1"/>
      <c r="B874" s="1"/>
      <c r="C874" s="1"/>
      <c r="D874" s="1"/>
      <c r="E874" s="1"/>
    </row>
    <row r="875" ht="15.75" customHeight="1">
      <c r="A875" s="1"/>
      <c r="B875" s="1"/>
      <c r="C875" s="1"/>
      <c r="D875" s="1"/>
      <c r="E875" s="1"/>
    </row>
    <row r="876" ht="15.75" customHeight="1">
      <c r="A876" s="1"/>
      <c r="B876" s="1"/>
      <c r="C876" s="1"/>
      <c r="D876" s="1"/>
      <c r="E876" s="1"/>
    </row>
    <row r="877" ht="15.75" customHeight="1">
      <c r="A877" s="1"/>
      <c r="B877" s="1"/>
      <c r="C877" s="1"/>
      <c r="D877" s="1"/>
      <c r="E877" s="1"/>
    </row>
    <row r="878" ht="15.75" customHeight="1">
      <c r="A878" s="1"/>
      <c r="B878" s="1"/>
      <c r="C878" s="1"/>
      <c r="D878" s="1"/>
      <c r="E878" s="1"/>
    </row>
    <row r="879" ht="15.75" customHeight="1">
      <c r="A879" s="1"/>
      <c r="B879" s="1"/>
      <c r="C879" s="1"/>
      <c r="D879" s="1"/>
      <c r="E879" s="1"/>
    </row>
    <row r="880" ht="15.75" customHeight="1">
      <c r="A880" s="1"/>
      <c r="B880" s="1"/>
      <c r="C880" s="1"/>
      <c r="D880" s="1"/>
      <c r="E880" s="1"/>
    </row>
    <row r="881" ht="15.75" customHeight="1">
      <c r="A881" s="1"/>
      <c r="B881" s="1"/>
      <c r="C881" s="1"/>
      <c r="D881" s="1"/>
      <c r="E881" s="1"/>
    </row>
    <row r="882" ht="15.75" customHeight="1">
      <c r="A882" s="1"/>
      <c r="B882" s="1"/>
      <c r="C882" s="1"/>
      <c r="D882" s="1"/>
      <c r="E882" s="1"/>
    </row>
    <row r="883" ht="15.75" customHeight="1">
      <c r="A883" s="1"/>
      <c r="B883" s="1"/>
      <c r="C883" s="1"/>
      <c r="D883" s="1"/>
      <c r="E883" s="1"/>
    </row>
    <row r="884" ht="15.75" customHeight="1">
      <c r="A884" s="1"/>
      <c r="B884" s="1"/>
      <c r="C884" s="1"/>
      <c r="D884" s="1"/>
      <c r="E884" s="1"/>
    </row>
    <row r="885" ht="15.75" customHeight="1">
      <c r="A885" s="1"/>
      <c r="B885" s="1"/>
      <c r="C885" s="1"/>
      <c r="D885" s="1"/>
      <c r="E885" s="1"/>
    </row>
    <row r="886" ht="15.75" customHeight="1">
      <c r="A886" s="1"/>
      <c r="B886" s="1"/>
      <c r="C886" s="1"/>
      <c r="D886" s="1"/>
      <c r="E886" s="1"/>
    </row>
    <row r="887" ht="15.75" customHeight="1">
      <c r="A887" s="1"/>
      <c r="B887" s="1"/>
      <c r="C887" s="1"/>
      <c r="D887" s="1"/>
      <c r="E887" s="1"/>
    </row>
    <row r="888" ht="15.75" customHeight="1">
      <c r="A888" s="1"/>
      <c r="B888" s="1"/>
      <c r="C888" s="1"/>
      <c r="D888" s="1"/>
      <c r="E888" s="1"/>
    </row>
    <row r="889" ht="15.75" customHeight="1">
      <c r="A889" s="1"/>
      <c r="B889" s="1"/>
      <c r="C889" s="1"/>
      <c r="D889" s="1"/>
      <c r="E889" s="1"/>
    </row>
    <row r="890" ht="15.75" customHeight="1">
      <c r="A890" s="1"/>
      <c r="B890" s="1"/>
      <c r="C890" s="1"/>
      <c r="D890" s="1"/>
      <c r="E890" s="1"/>
    </row>
    <row r="891" ht="15.75" customHeight="1">
      <c r="A891" s="1"/>
      <c r="B891" s="1"/>
      <c r="C891" s="1"/>
      <c r="D891" s="1"/>
      <c r="E891" s="1"/>
    </row>
    <row r="892" ht="15.75" customHeight="1">
      <c r="A892" s="1"/>
      <c r="B892" s="1"/>
      <c r="C892" s="1"/>
      <c r="D892" s="1"/>
      <c r="E892" s="1"/>
    </row>
    <row r="893" ht="15.75" customHeight="1">
      <c r="A893" s="1"/>
      <c r="B893" s="1"/>
      <c r="C893" s="1"/>
      <c r="D893" s="1"/>
      <c r="E893" s="1"/>
    </row>
    <row r="894" ht="15.75" customHeight="1">
      <c r="A894" s="1"/>
      <c r="B894" s="1"/>
      <c r="C894" s="1"/>
      <c r="D894" s="1"/>
      <c r="E894" s="1"/>
    </row>
    <row r="895" ht="15.75" customHeight="1">
      <c r="A895" s="1"/>
      <c r="B895" s="1"/>
      <c r="C895" s="1"/>
      <c r="D895" s="1"/>
      <c r="E895" s="1"/>
    </row>
    <row r="896" ht="15.75" customHeight="1">
      <c r="A896" s="1"/>
      <c r="B896" s="1"/>
      <c r="C896" s="1"/>
      <c r="D896" s="1"/>
      <c r="E896" s="1"/>
    </row>
    <row r="897" ht="15.75" customHeight="1">
      <c r="A897" s="1"/>
      <c r="B897" s="1"/>
      <c r="C897" s="1"/>
      <c r="D897" s="1"/>
      <c r="E897" s="1"/>
    </row>
    <row r="898" ht="15.75" customHeight="1">
      <c r="A898" s="1"/>
      <c r="B898" s="1"/>
      <c r="C898" s="1"/>
      <c r="D898" s="1"/>
      <c r="E898" s="1"/>
    </row>
    <row r="899" ht="15.75" customHeight="1">
      <c r="A899" s="1"/>
      <c r="B899" s="1"/>
      <c r="C899" s="1"/>
      <c r="D899" s="1"/>
      <c r="E899" s="1"/>
    </row>
    <row r="900" ht="15.75" customHeight="1">
      <c r="A900" s="1"/>
      <c r="B900" s="1"/>
      <c r="C900" s="1"/>
      <c r="D900" s="1"/>
      <c r="E900" s="1"/>
    </row>
    <row r="901" ht="15.75" customHeight="1">
      <c r="A901" s="1"/>
      <c r="B901" s="1"/>
      <c r="C901" s="1"/>
      <c r="D901" s="1"/>
      <c r="E901" s="1"/>
    </row>
    <row r="902" ht="15.75" customHeight="1">
      <c r="A902" s="1"/>
      <c r="B902" s="1"/>
      <c r="C902" s="1"/>
      <c r="D902" s="1"/>
      <c r="E902" s="1"/>
    </row>
    <row r="903" ht="15.75" customHeight="1">
      <c r="A903" s="1"/>
      <c r="B903" s="1"/>
      <c r="C903" s="1"/>
      <c r="D903" s="1"/>
      <c r="E903" s="1"/>
    </row>
    <row r="904" ht="15.75" customHeight="1">
      <c r="A904" s="1"/>
      <c r="B904" s="1"/>
      <c r="C904" s="1"/>
      <c r="D904" s="1"/>
      <c r="E904" s="1"/>
    </row>
    <row r="905" ht="15.75" customHeight="1">
      <c r="A905" s="1"/>
      <c r="B905" s="1"/>
      <c r="C905" s="1"/>
      <c r="D905" s="1"/>
      <c r="E905" s="1"/>
    </row>
    <row r="906" ht="15.75" customHeight="1">
      <c r="A906" s="1"/>
      <c r="B906" s="1"/>
      <c r="C906" s="1"/>
      <c r="D906" s="1"/>
      <c r="E906" s="1"/>
    </row>
    <row r="907" ht="15.75" customHeight="1">
      <c r="A907" s="1"/>
      <c r="B907" s="1"/>
      <c r="C907" s="1"/>
      <c r="D907" s="1"/>
      <c r="E907" s="1"/>
    </row>
    <row r="908" ht="15.75" customHeight="1">
      <c r="A908" s="1"/>
      <c r="B908" s="1"/>
      <c r="C908" s="1"/>
      <c r="D908" s="1"/>
      <c r="E908" s="1"/>
    </row>
    <row r="909" ht="15.75" customHeight="1">
      <c r="A909" s="1"/>
      <c r="B909" s="1"/>
      <c r="C909" s="1"/>
      <c r="D909" s="1"/>
      <c r="E909" s="1"/>
    </row>
    <row r="910" ht="15.75" customHeight="1">
      <c r="A910" s="1"/>
      <c r="B910" s="1"/>
      <c r="C910" s="1"/>
      <c r="D910" s="1"/>
      <c r="E910" s="1"/>
    </row>
    <row r="911" ht="15.75" customHeight="1">
      <c r="A911" s="1"/>
      <c r="B911" s="1"/>
      <c r="C911" s="1"/>
      <c r="D911" s="1"/>
      <c r="E911" s="1"/>
    </row>
    <row r="912" ht="15.75" customHeight="1">
      <c r="A912" s="1"/>
      <c r="B912" s="1"/>
      <c r="C912" s="1"/>
      <c r="D912" s="1"/>
      <c r="E912" s="1"/>
    </row>
    <row r="913" ht="15.75" customHeight="1">
      <c r="A913" s="1"/>
      <c r="B913" s="1"/>
      <c r="C913" s="1"/>
      <c r="D913" s="1"/>
      <c r="E913" s="1"/>
    </row>
    <row r="914" ht="15.75" customHeight="1">
      <c r="A914" s="1"/>
      <c r="B914" s="1"/>
      <c r="C914" s="1"/>
      <c r="D914" s="1"/>
      <c r="E914" s="1"/>
    </row>
    <row r="915" ht="15.75" customHeight="1">
      <c r="A915" s="1"/>
      <c r="B915" s="1"/>
      <c r="C915" s="1"/>
      <c r="D915" s="1"/>
      <c r="E915" s="1"/>
    </row>
    <row r="916" ht="15.75" customHeight="1">
      <c r="A916" s="1"/>
      <c r="B916" s="1"/>
      <c r="C916" s="1"/>
      <c r="D916" s="1"/>
      <c r="E916" s="1"/>
    </row>
    <row r="917" ht="15.75" customHeight="1">
      <c r="A917" s="1"/>
      <c r="B917" s="1"/>
      <c r="C917" s="1"/>
      <c r="D917" s="1"/>
      <c r="E917" s="1"/>
    </row>
    <row r="918" ht="15.75" customHeight="1">
      <c r="A918" s="1"/>
      <c r="B918" s="1"/>
      <c r="C918" s="1"/>
      <c r="D918" s="1"/>
      <c r="E918" s="1"/>
    </row>
    <row r="919" ht="15.75" customHeight="1">
      <c r="A919" s="1"/>
      <c r="B919" s="1"/>
      <c r="C919" s="1"/>
      <c r="D919" s="1"/>
      <c r="E919" s="1"/>
    </row>
    <row r="920" ht="15.75" customHeight="1">
      <c r="A920" s="1"/>
      <c r="B920" s="1"/>
      <c r="C920" s="1"/>
      <c r="D920" s="1"/>
      <c r="E920" s="1"/>
    </row>
    <row r="921" ht="15.75" customHeight="1">
      <c r="A921" s="1"/>
      <c r="B921" s="1"/>
      <c r="C921" s="1"/>
      <c r="D921" s="1"/>
      <c r="E921" s="1"/>
    </row>
    <row r="922" ht="15.75" customHeight="1">
      <c r="A922" s="1"/>
      <c r="B922" s="1"/>
      <c r="C922" s="1"/>
      <c r="D922" s="1"/>
      <c r="E922" s="1"/>
    </row>
    <row r="923" ht="15.75" customHeight="1">
      <c r="A923" s="1"/>
      <c r="B923" s="1"/>
      <c r="C923" s="1"/>
      <c r="D923" s="1"/>
      <c r="E923" s="1"/>
    </row>
    <row r="924" ht="15.75" customHeight="1">
      <c r="A924" s="1"/>
      <c r="B924" s="1"/>
      <c r="C924" s="1"/>
      <c r="D924" s="1"/>
      <c r="E924" s="1"/>
    </row>
    <row r="925" ht="15.75" customHeight="1">
      <c r="A925" s="1"/>
      <c r="B925" s="1"/>
      <c r="C925" s="1"/>
      <c r="D925" s="1"/>
      <c r="E925" s="1"/>
    </row>
    <row r="926" ht="15.75" customHeight="1">
      <c r="A926" s="1"/>
      <c r="B926" s="1"/>
      <c r="C926" s="1"/>
      <c r="D926" s="1"/>
      <c r="E926" s="1"/>
    </row>
    <row r="927" ht="15.75" customHeight="1">
      <c r="A927" s="1"/>
      <c r="B927" s="1"/>
      <c r="C927" s="1"/>
      <c r="D927" s="1"/>
      <c r="E927" s="1"/>
    </row>
    <row r="928" ht="15.75" customHeight="1">
      <c r="A928" s="1"/>
      <c r="B928" s="1"/>
      <c r="C928" s="1"/>
      <c r="D928" s="1"/>
      <c r="E928" s="1"/>
    </row>
    <row r="929" ht="15.75" customHeight="1">
      <c r="A929" s="1"/>
      <c r="B929" s="1"/>
      <c r="C929" s="1"/>
      <c r="D929" s="1"/>
      <c r="E929" s="1"/>
    </row>
    <row r="930" ht="15.75" customHeight="1">
      <c r="A930" s="1"/>
      <c r="B930" s="1"/>
      <c r="C930" s="1"/>
      <c r="D930" s="1"/>
      <c r="E930" s="1"/>
    </row>
    <row r="931" ht="15.75" customHeight="1">
      <c r="A931" s="1"/>
      <c r="B931" s="1"/>
      <c r="C931" s="1"/>
      <c r="D931" s="1"/>
      <c r="E931" s="1"/>
    </row>
    <row r="932" ht="15.75" customHeight="1">
      <c r="A932" s="1"/>
      <c r="B932" s="1"/>
      <c r="C932" s="1"/>
      <c r="D932" s="1"/>
      <c r="E932" s="1"/>
    </row>
    <row r="933" ht="15.75" customHeight="1">
      <c r="A933" s="1"/>
      <c r="B933" s="1"/>
      <c r="C933" s="1"/>
      <c r="D933" s="1"/>
      <c r="E933" s="1"/>
    </row>
    <row r="934" ht="15.75" customHeight="1">
      <c r="A934" s="1"/>
      <c r="B934" s="1"/>
      <c r="C934" s="1"/>
      <c r="D934" s="1"/>
      <c r="E934" s="1"/>
    </row>
    <row r="935" ht="15.75" customHeight="1">
      <c r="A935" s="1"/>
      <c r="B935" s="1"/>
      <c r="C935" s="1"/>
      <c r="D935" s="1"/>
      <c r="E935" s="1"/>
    </row>
    <row r="936" ht="15.75" customHeight="1">
      <c r="A936" s="1"/>
      <c r="B936" s="1"/>
      <c r="C936" s="1"/>
      <c r="D936" s="1"/>
      <c r="E936" s="1"/>
    </row>
    <row r="937" ht="15.75" customHeight="1">
      <c r="A937" s="1"/>
      <c r="B937" s="1"/>
      <c r="C937" s="1"/>
      <c r="D937" s="1"/>
      <c r="E937" s="1"/>
    </row>
    <row r="938" ht="15.75" customHeight="1">
      <c r="A938" s="1"/>
      <c r="B938" s="1"/>
      <c r="C938" s="1"/>
      <c r="D938" s="1"/>
      <c r="E938" s="1"/>
    </row>
    <row r="939" ht="15.75" customHeight="1">
      <c r="A939" s="1"/>
      <c r="B939" s="1"/>
      <c r="C939" s="1"/>
      <c r="D939" s="1"/>
      <c r="E939" s="1"/>
    </row>
    <row r="940" ht="15.75" customHeight="1">
      <c r="A940" s="1"/>
      <c r="B940" s="1"/>
      <c r="C940" s="1"/>
      <c r="D940" s="1"/>
      <c r="E940" s="1"/>
    </row>
    <row r="941" ht="15.75" customHeight="1">
      <c r="A941" s="1"/>
      <c r="B941" s="1"/>
      <c r="C941" s="1"/>
      <c r="D941" s="1"/>
      <c r="E941" s="1"/>
    </row>
    <row r="942" ht="15.75" customHeight="1">
      <c r="A942" s="1"/>
      <c r="B942" s="1"/>
      <c r="C942" s="1"/>
      <c r="D942" s="1"/>
      <c r="E942" s="1"/>
    </row>
    <row r="943" ht="15.75" customHeight="1">
      <c r="A943" s="1"/>
      <c r="B943" s="1"/>
      <c r="C943" s="1"/>
      <c r="D943" s="1"/>
      <c r="E943" s="1"/>
    </row>
    <row r="944" ht="15.75" customHeight="1">
      <c r="A944" s="1"/>
      <c r="B944" s="1"/>
      <c r="C944" s="1"/>
      <c r="D944" s="1"/>
      <c r="E944" s="1"/>
    </row>
    <row r="945" ht="15.75" customHeight="1">
      <c r="A945" s="1"/>
      <c r="B945" s="1"/>
      <c r="C945" s="1"/>
      <c r="D945" s="1"/>
      <c r="E945" s="1"/>
    </row>
    <row r="946" ht="15.75" customHeight="1">
      <c r="A946" s="1"/>
      <c r="B946" s="1"/>
      <c r="C946" s="1"/>
      <c r="D946" s="1"/>
      <c r="E946" s="1"/>
    </row>
    <row r="947" ht="15.75" customHeight="1">
      <c r="A947" s="1"/>
      <c r="B947" s="1"/>
      <c r="C947" s="1"/>
      <c r="D947" s="1"/>
      <c r="E947" s="1"/>
    </row>
    <row r="948" ht="15.75" customHeight="1">
      <c r="A948" s="1"/>
      <c r="B948" s="1"/>
      <c r="C948" s="1"/>
      <c r="D948" s="1"/>
      <c r="E948" s="1"/>
    </row>
    <row r="949" ht="15.75" customHeight="1">
      <c r="A949" s="1"/>
      <c r="B949" s="1"/>
      <c r="C949" s="1"/>
      <c r="D949" s="1"/>
      <c r="E949" s="1"/>
    </row>
    <row r="950" ht="15.75" customHeight="1">
      <c r="A950" s="1"/>
      <c r="B950" s="1"/>
      <c r="C950" s="1"/>
      <c r="D950" s="1"/>
      <c r="E950" s="1"/>
    </row>
    <row r="951" ht="15.75" customHeight="1">
      <c r="A951" s="1"/>
      <c r="B951" s="1"/>
      <c r="C951" s="1"/>
      <c r="D951" s="1"/>
      <c r="E951" s="1"/>
    </row>
    <row r="952" ht="15.75" customHeight="1">
      <c r="A952" s="1"/>
      <c r="B952" s="1"/>
      <c r="C952" s="1"/>
      <c r="D952" s="1"/>
      <c r="E952" s="1"/>
    </row>
    <row r="953" ht="15.75" customHeight="1">
      <c r="A953" s="1"/>
      <c r="B953" s="1"/>
      <c r="C953" s="1"/>
      <c r="D953" s="1"/>
      <c r="E953" s="1"/>
    </row>
    <row r="954" ht="15.75" customHeight="1">
      <c r="A954" s="1"/>
      <c r="B954" s="1"/>
      <c r="C954" s="1"/>
      <c r="D954" s="1"/>
      <c r="E954" s="1"/>
    </row>
    <row r="955" ht="15.75" customHeight="1">
      <c r="A955" s="1"/>
      <c r="B955" s="1"/>
      <c r="C955" s="1"/>
      <c r="D955" s="1"/>
      <c r="E955" s="1"/>
    </row>
    <row r="956" ht="15.75" customHeight="1">
      <c r="A956" s="1"/>
      <c r="B956" s="1"/>
      <c r="C956" s="1"/>
      <c r="D956" s="1"/>
      <c r="E956" s="1"/>
    </row>
    <row r="957" ht="15.75" customHeight="1">
      <c r="A957" s="1"/>
      <c r="B957" s="1"/>
      <c r="C957" s="1"/>
      <c r="D957" s="1"/>
      <c r="E957" s="1"/>
    </row>
    <row r="958" ht="15.75" customHeight="1">
      <c r="A958" s="1"/>
      <c r="B958" s="1"/>
      <c r="C958" s="1"/>
      <c r="D958" s="1"/>
      <c r="E958" s="1"/>
    </row>
    <row r="959" ht="15.75" customHeight="1">
      <c r="A959" s="1"/>
      <c r="B959" s="1"/>
      <c r="C959" s="1"/>
      <c r="D959" s="1"/>
      <c r="E959" s="1"/>
    </row>
    <row r="960" ht="15.75" customHeight="1">
      <c r="A960" s="1"/>
      <c r="B960" s="1"/>
      <c r="C960" s="1"/>
      <c r="D960" s="1"/>
      <c r="E960" s="1"/>
    </row>
    <row r="961" ht="15.75" customHeight="1">
      <c r="A961" s="1"/>
      <c r="B961" s="1"/>
      <c r="C961" s="1"/>
      <c r="D961" s="1"/>
      <c r="E961" s="1"/>
    </row>
    <row r="962" ht="15.75" customHeight="1">
      <c r="A962" s="1"/>
      <c r="B962" s="1"/>
      <c r="C962" s="1"/>
      <c r="D962" s="1"/>
      <c r="E962" s="1"/>
    </row>
    <row r="963" ht="15.75" customHeight="1">
      <c r="A963" s="1"/>
      <c r="B963" s="1"/>
      <c r="C963" s="1"/>
      <c r="D963" s="1"/>
      <c r="E963" s="1"/>
    </row>
    <row r="964" ht="15.75" customHeight="1">
      <c r="A964" s="1"/>
      <c r="B964" s="1"/>
      <c r="C964" s="1"/>
      <c r="D964" s="1"/>
      <c r="E964" s="1"/>
    </row>
    <row r="965" ht="15.75" customHeight="1">
      <c r="A965" s="1"/>
      <c r="B965" s="1"/>
      <c r="C965" s="1"/>
      <c r="D965" s="1"/>
      <c r="E965" s="1"/>
    </row>
    <row r="966" ht="15.75" customHeight="1">
      <c r="A966" s="1"/>
      <c r="B966" s="1"/>
      <c r="C966" s="1"/>
      <c r="D966" s="1"/>
      <c r="E966" s="1"/>
    </row>
    <row r="967" ht="15.75" customHeight="1">
      <c r="A967" s="1"/>
      <c r="B967" s="1"/>
      <c r="C967" s="1"/>
      <c r="D967" s="1"/>
      <c r="E967" s="1"/>
    </row>
    <row r="968" ht="15.75" customHeight="1">
      <c r="A968" s="1"/>
      <c r="B968" s="1"/>
      <c r="C968" s="1"/>
      <c r="D968" s="1"/>
      <c r="E968" s="1"/>
    </row>
    <row r="969" ht="15.75" customHeight="1">
      <c r="A969" s="1"/>
      <c r="B969" s="1"/>
      <c r="C969" s="1"/>
      <c r="D969" s="1"/>
      <c r="E969" s="1"/>
    </row>
    <row r="970" ht="15.75" customHeight="1">
      <c r="A970" s="1"/>
      <c r="B970" s="1"/>
      <c r="C970" s="1"/>
      <c r="D970" s="1"/>
      <c r="E970" s="1"/>
    </row>
    <row r="971" ht="15.75" customHeight="1">
      <c r="A971" s="1"/>
      <c r="B971" s="1"/>
      <c r="C971" s="1"/>
      <c r="D971" s="1"/>
      <c r="E971" s="1"/>
    </row>
    <row r="972" ht="15.75" customHeight="1">
      <c r="A972" s="1"/>
      <c r="B972" s="1"/>
      <c r="C972" s="1"/>
      <c r="D972" s="1"/>
      <c r="E972" s="1"/>
    </row>
    <row r="973" ht="15.75" customHeight="1">
      <c r="A973" s="1"/>
      <c r="B973" s="1"/>
      <c r="C973" s="1"/>
      <c r="D973" s="1"/>
      <c r="E973" s="1"/>
    </row>
    <row r="974" ht="15.75" customHeight="1">
      <c r="A974" s="1"/>
      <c r="B974" s="1"/>
      <c r="C974" s="1"/>
      <c r="D974" s="1"/>
      <c r="E974" s="1"/>
    </row>
    <row r="975" ht="15.75" customHeight="1">
      <c r="A975" s="1"/>
      <c r="B975" s="1"/>
      <c r="C975" s="1"/>
      <c r="D975" s="1"/>
      <c r="E975" s="1"/>
    </row>
    <row r="976" ht="15.75" customHeight="1">
      <c r="A976" s="1"/>
      <c r="B976" s="1"/>
      <c r="C976" s="1"/>
      <c r="D976" s="1"/>
      <c r="E976" s="1"/>
    </row>
    <row r="977" ht="15.75" customHeight="1">
      <c r="A977" s="1"/>
      <c r="B977" s="1"/>
      <c r="C977" s="1"/>
      <c r="D977" s="1"/>
      <c r="E977" s="1"/>
    </row>
    <row r="978" ht="15.75" customHeight="1">
      <c r="A978" s="1"/>
      <c r="B978" s="1"/>
      <c r="C978" s="1"/>
      <c r="D978" s="1"/>
      <c r="E978" s="1"/>
    </row>
    <row r="979" ht="15.75" customHeight="1">
      <c r="A979" s="1"/>
      <c r="B979" s="1"/>
      <c r="C979" s="1"/>
      <c r="D979" s="1"/>
      <c r="E979" s="1"/>
    </row>
    <row r="980" ht="15.75" customHeight="1">
      <c r="A980" s="1"/>
      <c r="B980" s="1"/>
      <c r="C980" s="1"/>
      <c r="D980" s="1"/>
      <c r="E980" s="1"/>
    </row>
    <row r="981" ht="15.75" customHeight="1">
      <c r="A981" s="1"/>
      <c r="B981" s="1"/>
      <c r="C981" s="1"/>
      <c r="D981" s="1"/>
      <c r="E981" s="1"/>
    </row>
    <row r="982" ht="15.75" customHeight="1">
      <c r="A982" s="1"/>
      <c r="B982" s="1"/>
      <c r="C982" s="1"/>
      <c r="D982" s="1"/>
      <c r="E982" s="1"/>
    </row>
    <row r="983" ht="15.75" customHeight="1">
      <c r="A983" s="1"/>
      <c r="B983" s="1"/>
      <c r="C983" s="1"/>
      <c r="D983" s="1"/>
      <c r="E983" s="1"/>
    </row>
    <row r="984" ht="15.75" customHeight="1">
      <c r="A984" s="1"/>
      <c r="B984" s="1"/>
      <c r="C984" s="1"/>
      <c r="D984" s="1"/>
      <c r="E984" s="1"/>
    </row>
    <row r="985" ht="15.75" customHeight="1">
      <c r="A985" s="1"/>
      <c r="B985" s="1"/>
      <c r="C985" s="1"/>
      <c r="D985" s="1"/>
      <c r="E985" s="1"/>
    </row>
    <row r="986" ht="15.75" customHeight="1">
      <c r="A986" s="1"/>
      <c r="B986" s="1"/>
      <c r="C986" s="1"/>
      <c r="D986" s="1"/>
      <c r="E986" s="1"/>
    </row>
    <row r="987" ht="15.75" customHeight="1">
      <c r="A987" s="1"/>
      <c r="B987" s="1"/>
      <c r="C987" s="1"/>
      <c r="D987" s="1"/>
      <c r="E987" s="1"/>
    </row>
    <row r="988" ht="15.75" customHeight="1">
      <c r="A988" s="1"/>
      <c r="B988" s="1"/>
      <c r="C988" s="1"/>
      <c r="D988" s="1"/>
      <c r="E988" s="1"/>
    </row>
    <row r="989" ht="15.75" customHeight="1">
      <c r="A989" s="1"/>
      <c r="B989" s="1"/>
      <c r="C989" s="1"/>
      <c r="D989" s="1"/>
      <c r="E989" s="1"/>
    </row>
    <row r="990" ht="15.75" customHeight="1">
      <c r="A990" s="1"/>
      <c r="B990" s="1"/>
      <c r="C990" s="1"/>
      <c r="D990" s="1"/>
      <c r="E990" s="1"/>
    </row>
    <row r="991" ht="15.75" customHeight="1">
      <c r="A991" s="1"/>
      <c r="B991" s="1"/>
      <c r="C991" s="1"/>
      <c r="D991" s="1"/>
      <c r="E991" s="1"/>
    </row>
    <row r="992" ht="15.75" customHeight="1">
      <c r="A992" s="1"/>
      <c r="B992" s="1"/>
      <c r="C992" s="1"/>
      <c r="D992" s="1"/>
      <c r="E992" s="1"/>
    </row>
    <row r="993" ht="15.75" customHeight="1">
      <c r="A993" s="1"/>
      <c r="B993" s="1"/>
      <c r="C993" s="1"/>
      <c r="D993" s="1"/>
      <c r="E993" s="1"/>
    </row>
    <row r="994" ht="15.75" customHeight="1">
      <c r="A994" s="1"/>
      <c r="B994" s="1"/>
      <c r="C994" s="1"/>
      <c r="D994" s="1"/>
      <c r="E994" s="1"/>
    </row>
    <row r="995" ht="15.75" customHeight="1">
      <c r="A995" s="1"/>
      <c r="B995" s="1"/>
      <c r="C995" s="1"/>
      <c r="D995" s="1"/>
      <c r="E995" s="1"/>
    </row>
    <row r="996" ht="15.75" customHeight="1">
      <c r="A996" s="1"/>
      <c r="B996" s="1"/>
      <c r="C996" s="1"/>
      <c r="D996" s="1"/>
      <c r="E996" s="1"/>
    </row>
    <row r="997" ht="15.75" customHeight="1">
      <c r="A997" s="1"/>
      <c r="B997" s="1"/>
      <c r="C997" s="1"/>
      <c r="D997" s="1"/>
      <c r="E997" s="1"/>
    </row>
    <row r="998" ht="15.75" customHeight="1">
      <c r="A998" s="1"/>
      <c r="B998" s="1"/>
      <c r="C998" s="1"/>
      <c r="D998" s="1"/>
      <c r="E998" s="1"/>
    </row>
    <row r="999" ht="15.75" customHeight="1">
      <c r="A999" s="1"/>
      <c r="B999" s="1"/>
      <c r="C999" s="1"/>
      <c r="D999" s="1"/>
      <c r="E999" s="1"/>
    </row>
    <row r="1000" ht="15.75" customHeight="1">
      <c r="A1000" s="1"/>
      <c r="B1000" s="1"/>
      <c r="C1000" s="1"/>
      <c r="D1000" s="1"/>
      <c r="E1000" s="1"/>
    </row>
  </sheetData>
  <mergeCells count="3">
    <mergeCell ref="B2:E2"/>
    <mergeCell ref="B3:E3"/>
    <mergeCell ref="B62:E6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8" width="12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24.0" customHeight="1">
      <c r="A2" s="1"/>
      <c r="B2" s="54" t="s">
        <v>457</v>
      </c>
      <c r="C2" s="3"/>
      <c r="D2" s="3"/>
      <c r="E2" s="3"/>
      <c r="F2" s="3"/>
      <c r="G2" s="3"/>
      <c r="H2" s="4"/>
    </row>
    <row r="3" ht="30.0" customHeight="1">
      <c r="A3" s="1"/>
      <c r="B3" s="5" t="s">
        <v>459</v>
      </c>
    </row>
    <row r="4">
      <c r="A4" s="1"/>
      <c r="B4" s="1"/>
      <c r="C4" s="1"/>
      <c r="D4" s="1"/>
      <c r="E4" s="1"/>
      <c r="F4" s="1"/>
      <c r="G4" s="1"/>
      <c r="H4" s="1"/>
    </row>
    <row r="5" ht="15.0" customHeight="1">
      <c r="A5" s="1"/>
      <c r="B5" s="19" t="s">
        <v>461</v>
      </c>
      <c r="C5" s="68">
        <v>0.02</v>
      </c>
      <c r="D5" s="68">
        <v>0.025</v>
      </c>
      <c r="E5" s="68">
        <v>0.03</v>
      </c>
      <c r="F5" s="68">
        <v>0.035</v>
      </c>
      <c r="G5" s="68">
        <v>0.04</v>
      </c>
      <c r="H5" s="1"/>
    </row>
    <row r="6" ht="15.0" customHeight="1">
      <c r="A6" s="1"/>
      <c r="B6" s="69">
        <v>0.065</v>
      </c>
      <c r="C6" s="45">
        <f>((Proyecciones!D44/(1+$B6)^1+Proyecciones!E44/(1+$B6)^2+Proyecciones!F44/(1+$B6)^3+Proyecciones!G44/(1+$B6)^4+Proyecciones!H44/(1+$B6)^5+(Proyecciones!H14*(1-DATOS!K66)*(1+C$5)/($B6-C$5))/(1+$B6)^5)+(DATOS!G30+DATOS!G38-DATOS!G45))/DATOS!I28</f>
        <v>9.03728359</v>
      </c>
      <c r="D6" s="45">
        <f>((Proyecciones!D44/(1+$B6)^1+Proyecciones!E44/(1+$B6)^2+Proyecciones!F44/(1+$B6)^3+Proyecciones!G44/(1+$B6)^4+Proyecciones!H44/(1+$B6)^5+(Proyecciones!H14*(1-DATOS!K66)*(1+D$5)/($B6-D$5))/(1+$B6)^5)+(DATOS!G30+DATOS!G38-DATOS!G45))/DATOS!I28</f>
        <v>9.889383508</v>
      </c>
      <c r="E6" s="45">
        <f>((Proyecciones!D44/(1+$B6)^1+Proyecciones!E44/(1+$B6)^2+Proyecciones!F44/(1+$B6)^3+Proyecciones!G44/(1+$B6)^4+Proyecciones!H44/(1+$B6)^5+(Proyecciones!H14*(1-DATOS!K66)*(1+E$5)/($B6-E$5))/(1+$B6)^5)+(DATOS!G30+DATOS!G38-DATOS!G45))/DATOS!I28</f>
        <v>10.98494054</v>
      </c>
      <c r="F6" s="45">
        <f>((Proyecciones!D44/(1+$B6)^1+Proyecciones!E44/(1+$B6)^2+Proyecciones!F44/(1+$B6)^3+Proyecciones!G44/(1+$B6)^4+Proyecciones!H44/(1+$B6)^5+(Proyecciones!H14*(1-DATOS!K66)*(1+F$5)/($B6-F$5))/(1+$B6)^5)+(DATOS!G30+DATOS!G38-DATOS!G45))/DATOS!I28</f>
        <v>12.44568326</v>
      </c>
      <c r="G6" s="45">
        <f>((Proyecciones!D44/(1+$B6)^1+Proyecciones!E44/(1+$B6)^2+Proyecciones!F44/(1+$B6)^3+Proyecciones!G44/(1+$B6)^4+Proyecciones!H44/(1+$B6)^5+(Proyecciones!H14*(1-DATOS!K66)*(1+G$5)/($B6-G$5))/(1+$B6)^5)+(DATOS!G30+DATOS!G38-DATOS!G45))/DATOS!I28</f>
        <v>14.49072306</v>
      </c>
      <c r="H6" s="1"/>
    </row>
    <row r="7" ht="15.0" customHeight="1">
      <c r="A7" s="1"/>
      <c r="B7" s="69">
        <v>0.075</v>
      </c>
      <c r="C7" s="45">
        <f>((Proyecciones!D44/(1+$B7)^1+Proyecciones!E44/(1+$B7)^2+Proyecciones!F44/(1+$B7)^3+Proyecciones!G44/(1+$B7)^4+Proyecciones!H44/(1+$B7)^5+(Proyecciones!H14*(1-DATOS!K66)*(1+C$5)/($B7-C$5))/(1+$B7)^5)+(DATOS!G30+DATOS!G38-DATOS!G45))/DATOS!I28</f>
        <v>7.599154177</v>
      </c>
      <c r="D7" s="45">
        <f>((Proyecciones!D44/(1+$B7)^1+Proyecciones!E44/(1+$B7)^2+Proyecciones!F44/(1+$B7)^3+Proyecciones!G44/(1+$B7)^4+Proyecciones!H44/(1+$B7)^5+(Proyecciones!H14*(1-DATOS!K66)*(1+D$5)/($B7-D$5))/(1+$B7)^5)+(DATOS!G30+DATOS!G38-DATOS!G45))/DATOS!I28</f>
        <v>8.136427045</v>
      </c>
      <c r="E7" s="45">
        <f>((Proyecciones!D44/(1+$B7)^1+Proyecciones!E44/(1+$B7)^2+Proyecciones!F44/(1+$B7)^3+Proyecciones!G44/(1+$B7)^4+Proyecciones!H44/(1+$B7)^5+(Proyecciones!H14*(1-DATOS!K66)*(1+E$5)/($B7-E$5))/(1+$B7)^5)+(DATOS!G30+DATOS!G38-DATOS!G45))/DATOS!I28</f>
        <v>8.793093882</v>
      </c>
      <c r="F7" s="45">
        <f>((Proyecciones!D44/(1+$B7)^1+Proyecciones!E44/(1+$B7)^2+Proyecciones!F44/(1+$B7)^3+Proyecciones!G44/(1+$B7)^4+Proyecciones!H44/(1+$B7)^5+(Proyecciones!H14*(1-DATOS!K66)*(1+F$5)/($B7-F$5))/(1+$B7)^5)+(DATOS!G30+DATOS!G38-DATOS!G45))/DATOS!I28</f>
        <v>9.613927429</v>
      </c>
      <c r="G7" s="45">
        <f>((Proyecciones!D44/(1+$B7)^1+Proyecciones!E44/(1+$B7)^2+Proyecciones!F44/(1+$B7)^3+Proyecciones!G44/(1+$B7)^4+Proyecciones!H44/(1+$B7)^5+(Proyecciones!H14*(1-DATOS!K66)*(1+G$5)/($B7-G$5))/(1+$B7)^5)+(DATOS!G30+DATOS!G38-DATOS!G45))/DATOS!I28</f>
        <v>10.66928485</v>
      </c>
      <c r="H7" s="1"/>
    </row>
    <row r="8" ht="15.0" customHeight="1">
      <c r="A8" s="1"/>
      <c r="B8" s="69">
        <v>0.084</v>
      </c>
      <c r="C8" s="45">
        <f>((Proyecciones!D44/(1+$B8)^1+Proyecciones!E44/(1+$B8)^2+Proyecciones!F44/(1+$B8)^3+Proyecciones!G44/(1+$B8)^4+Proyecciones!H44/(1+$B8)^5+(Proyecciones!H14*(1-DATOS!K66)*(1+C$5)/($B8-C$5))/(1+$B8)^5)+(DATOS!G30+DATOS!G38-DATOS!G45))/DATOS!I28</f>
        <v>6.697157103</v>
      </c>
      <c r="D8" s="45">
        <f>((Proyecciones!D44/(1+$B8)^1+Proyecciones!E44/(1+$B8)^2+Proyecciones!F44/(1+$B8)^3+Proyecciones!G44/(1+$B8)^4+Proyecciones!H44/(1+$B8)^5+(Proyecciones!H14*(1-DATOS!K66)*(1+D$5)/($B8-D$5))/(1+$B8)^5)+(DATOS!G30+DATOS!G38-DATOS!G45))/DATOS!I28</f>
        <v>7.075610446</v>
      </c>
      <c r="E8" s="92">
        <f>((Proyecciones!D44/(1+$B8)^1+Proyecciones!E44/(1+$B8)^2+Proyecciones!F44/(1+$B8)^3+Proyecciones!G44/(1+$B8)^4+Proyecciones!H44/(1+$B8)^5+(Proyecciones!H14*(1-DATOS!K66)*(1+E$5)/($B8-E$5))/(1+$B8)^5)+(DATOS!G30+DATOS!G38-DATOS!G45))/DATOS!I28</f>
        <v>7.524147741</v>
      </c>
      <c r="F8" s="45">
        <f>((Proyecciones!D44/(1+$B8)^1+Proyecciones!E44/(1+$B8)^2+Proyecciones!F44/(1+$B8)^3+Proyecciones!G44/(1+$B8)^4+Proyecciones!H44/(1+$B8)^5+(Proyecciones!H14*(1-DATOS!K66)*(1+F$5)/($B8-F$5))/(1+$B8)^5)+(DATOS!G30+DATOS!G38-DATOS!G45))/DATOS!I28</f>
        <v>8.064223259</v>
      </c>
      <c r="G8" s="45">
        <f>((Proyecciones!D44/(1+$B8)^1+Proyecciones!E44/(1+$B8)^2+Proyecciones!F44/(1+$B8)^3+Proyecciones!G44/(1+$B8)^4+Proyecciones!H44/(1+$B8)^5+(Proyecciones!H14*(1-DATOS!K66)*(1+G$5)/($B8-G$5))/(1+$B8)^5)+(DATOS!G30+DATOS!G38-DATOS!G45))/DATOS!I28</f>
        <v>8.727043213</v>
      </c>
      <c r="H8" s="1"/>
    </row>
    <row r="9" ht="15.0" customHeight="1">
      <c r="A9" s="1"/>
      <c r="B9" s="69">
        <v>0.095</v>
      </c>
      <c r="C9" s="45">
        <f>((Proyecciones!D44/(1+$B9)^1+Proyecciones!E44/(1+$B9)^2+Proyecciones!F44/(1+$B9)^3+Proyecciones!G44/(1+$B9)^4+Proyecciones!H44/(1+$B9)^5+(Proyecciones!H14*(1-DATOS!K66)*(1+C$5)/($B9-C$5))/(1+$B9)^5)+(DATOS!G30+DATOS!G38-DATOS!G45))/DATOS!I28</f>
        <v>5.896998155</v>
      </c>
      <c r="D9" s="45">
        <f>((Proyecciones!D44/(1+$B9)^1+Proyecciones!E44/(1+$B9)^2+Proyecciones!F44/(1+$B9)^3+Proyecciones!G44/(1+$B9)^4+Proyecciones!H44/(1+$B9)^5+(Proyecciones!H14*(1-DATOS!K66)*(1+D$5)/($B9-D$5))/(1+$B9)^5)+(DATOS!G30+DATOS!G38-DATOS!G45))/DATOS!I28</f>
        <v>6.15842229</v>
      </c>
      <c r="E9" s="45">
        <f>((Proyecciones!D44/(1+$B9)^1+Proyecciones!E44/(1+$B9)^2+Proyecciones!F44/(1+$B9)^3+Proyecciones!G44/(1+$B9)^4+Proyecciones!H44/(1+$B9)^5+(Proyecciones!H14*(1-DATOS!K66)*(1+E$5)/($B9-E$5))/(1+$B9)^5)+(DATOS!G30+DATOS!G38-DATOS!G45))/DATOS!I28</f>
        <v>6.460065522</v>
      </c>
      <c r="F9" s="45">
        <f>((Proyecciones!D44/(1+$B9)^1+Proyecciones!E44/(1+$B9)^2+Proyecciones!F44/(1+$B9)^3+Proyecciones!G44/(1+$B9)^4+Proyecciones!H44/(1+$B9)^5+(Proyecciones!H14*(1-DATOS!K66)*(1+F$5)/($B9-F$5))/(1+$B9)^5)+(DATOS!G30+DATOS!G38-DATOS!G45))/DATOS!I28</f>
        <v>6.811982627</v>
      </c>
      <c r="G9" s="45">
        <f>((Proyecciones!D44/(1+$B9)^1+Proyecciones!E44/(1+$B9)^2+Proyecciones!F44/(1+$B9)^3+Proyecciones!G44/(1+$B9)^4+Proyecciones!H44/(1+$B9)^5+(Proyecciones!H14*(1-DATOS!K66)*(1+G$5)/($B9-G$5))/(1+$B9)^5)+(DATOS!G30+DATOS!G38-DATOS!G45))/DATOS!I28</f>
        <v>7.22788466</v>
      </c>
      <c r="H9" s="1"/>
    </row>
    <row r="10" ht="15.0" customHeight="1">
      <c r="A10" s="1"/>
      <c r="B10" s="69">
        <v>0.105</v>
      </c>
      <c r="C10" s="45">
        <f>((Proyecciones!D44/(1+$B10)^1+Proyecciones!E44/(1+$B10)^2+Proyecciones!F44/(1+$B10)^3+Proyecciones!G44/(1+$B10)^4+Proyecciones!H44/(1+$B10)^5+(Proyecciones!H14*(1-DATOS!K66)*(1+C$5)/($B10-C$5))/(1+$B10)^5)+(DATOS!G30+DATOS!G38-DATOS!G45))/DATOS!I28</f>
        <v>5.355845634</v>
      </c>
      <c r="D10" s="45">
        <f>((Proyecciones!D44/(1+$B10)^1+Proyecciones!E44/(1+$B10)^2+Proyecciones!F44/(1+$B10)^3+Proyecciones!G44/(1+$B10)^4+Proyecciones!H44/(1+$B10)^5+(Proyecciones!H14*(1-DATOS!K66)*(1+D$5)/($B10-D$5))/(1+$B10)^5)+(DATOS!G30+DATOS!G38-DATOS!G45))/DATOS!I28</f>
        <v>5.55047279</v>
      </c>
      <c r="E10" s="45">
        <f>((Proyecciones!D44/(1+$B10)^1+Proyecciones!E44/(1+$B10)^2+Proyecciones!F44/(1+$B10)^3+Proyecciones!G44/(1+$B10)^4+Proyecciones!H44/(1+$B10)^5+(Proyecciones!H14*(1-DATOS!K66)*(1+E$5)/($B10-E$5))/(1+$B10)^5)+(DATOS!G30+DATOS!G38-DATOS!G45))/DATOS!I28</f>
        <v>5.771050232</v>
      </c>
      <c r="F10" s="45">
        <f>((Proyecciones!D44/(1+$B10)^1+Proyecciones!E44/(1+$B10)^2+Proyecciones!F44/(1+$B10)^3+Proyecciones!G44/(1+$B10)^4+Proyecciones!H44/(1+$B10)^5+(Proyecciones!H14*(1-DATOS!K66)*(1+F$5)/($B10-F$5))/(1+$B10)^5)+(DATOS!G30+DATOS!G38-DATOS!G45))/DATOS!I28</f>
        <v>6.023138738</v>
      </c>
      <c r="G10" s="45">
        <f>((Proyecciones!D44/(1+$B10)^1+Proyecciones!E44/(1+$B10)^2+Proyecciones!F44/(1+$B10)^3+Proyecciones!G44/(1+$B10)^4+Proyecciones!H44/(1+$B10)^5+(Proyecciones!H14*(1-DATOS!K66)*(1+G$5)/($B10-G$5))/(1+$B10)^5)+(DATOS!G30+DATOS!G38-DATOS!G45))/DATOS!I28</f>
        <v>6.314010091</v>
      </c>
      <c r="H10" s="1"/>
    </row>
    <row r="11">
      <c r="A11" s="1"/>
      <c r="B11" s="1"/>
      <c r="C11" s="1"/>
      <c r="D11" s="1"/>
      <c r="E11" s="1"/>
      <c r="F11" s="1"/>
      <c r="G11" s="1"/>
      <c r="H11" s="1"/>
    </row>
    <row r="12" ht="18.75" customHeight="1">
      <c r="A12" s="1"/>
      <c r="B12" s="103" t="s">
        <v>556</v>
      </c>
      <c r="C12" s="15"/>
      <c r="D12" s="104">
        <f>DATOS!I55</f>
        <v>10</v>
      </c>
      <c r="E12" s="5" t="s">
        <v>558</v>
      </c>
    </row>
    <row r="13">
      <c r="A13" s="1"/>
      <c r="B13" s="1"/>
      <c r="C13" s="1"/>
      <c r="D13" s="1"/>
      <c r="E13" s="1"/>
      <c r="F13" s="1"/>
      <c r="G13" s="1"/>
      <c r="H13" s="1"/>
    </row>
    <row r="14" ht="55.5" customHeight="1">
      <c r="A14" s="1"/>
      <c r="B14" s="47" t="s">
        <v>559</v>
      </c>
    </row>
    <row r="15">
      <c r="A15" s="1"/>
      <c r="B15" s="1"/>
      <c r="C15" s="1"/>
      <c r="D15" s="1"/>
      <c r="E15" s="1"/>
      <c r="F15" s="1"/>
      <c r="G15" s="1"/>
      <c r="H15" s="1"/>
    </row>
    <row r="16">
      <c r="A16" s="1"/>
      <c r="B16" s="1"/>
      <c r="C16" s="1"/>
      <c r="D16" s="1"/>
      <c r="E16" s="1"/>
      <c r="F16" s="1"/>
      <c r="G16" s="1"/>
      <c r="H16" s="1"/>
    </row>
    <row r="17">
      <c r="A17" s="1"/>
      <c r="B17" s="1"/>
      <c r="C17" s="1"/>
      <c r="D17" s="1"/>
      <c r="E17" s="1"/>
      <c r="F17" s="1"/>
      <c r="G17" s="1"/>
      <c r="H17" s="1"/>
    </row>
    <row r="18">
      <c r="A18" s="1"/>
      <c r="B18" s="1"/>
      <c r="C18" s="1"/>
      <c r="D18" s="1"/>
      <c r="E18" s="1"/>
      <c r="F18" s="1"/>
      <c r="G18" s="1"/>
      <c r="H18" s="1"/>
    </row>
    <row r="19">
      <c r="A19" s="1"/>
      <c r="B19" s="1"/>
      <c r="C19" s="1"/>
      <c r="D19" s="1"/>
      <c r="E19" s="1"/>
      <c r="F19" s="1"/>
      <c r="G19" s="1"/>
      <c r="H19" s="1"/>
    </row>
    <row r="20">
      <c r="A20" s="1"/>
      <c r="B20" s="1"/>
      <c r="C20" s="1"/>
      <c r="D20" s="1"/>
      <c r="E20" s="1"/>
      <c r="F20" s="1"/>
      <c r="G20" s="1"/>
      <c r="H20" s="1"/>
    </row>
    <row r="21" ht="15.75" customHeight="1">
      <c r="A21" s="1"/>
      <c r="B21" s="1"/>
      <c r="C21" s="1"/>
      <c r="D21" s="1"/>
      <c r="E21" s="1"/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15.75" customHeight="1">
      <c r="A23" s="1"/>
      <c r="B23" s="1"/>
      <c r="C23" s="1"/>
      <c r="D23" s="1"/>
      <c r="E23" s="1"/>
      <c r="F23" s="1"/>
      <c r="G23" s="1"/>
      <c r="H23" s="1"/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5">
    <mergeCell ref="B2:H2"/>
    <mergeCell ref="B3:H3"/>
    <mergeCell ref="B12:C12"/>
    <mergeCell ref="E12:H12"/>
    <mergeCell ref="B14:H14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7" width="14.0"/>
    <col customWidth="1" min="8" max="8" width="30.0"/>
    <col customWidth="1" min="9" max="26" width="8.71"/>
  </cols>
  <sheetData>
    <row r="1">
      <c r="A1" s="1"/>
      <c r="B1" s="1"/>
      <c r="C1" s="1"/>
      <c r="D1" s="1"/>
      <c r="E1" s="1"/>
      <c r="F1" s="1"/>
      <c r="G1" s="1"/>
      <c r="H1" s="1"/>
    </row>
    <row r="2" ht="24.0" customHeight="1">
      <c r="A2" s="1"/>
      <c r="B2" s="54" t="s">
        <v>515</v>
      </c>
      <c r="C2" s="3"/>
      <c r="D2" s="3"/>
      <c r="E2" s="3"/>
      <c r="F2" s="3"/>
      <c r="G2" s="3"/>
      <c r="H2" s="4"/>
    </row>
    <row r="3" ht="30.0" customHeight="1">
      <c r="A3" s="1"/>
      <c r="B3" s="5" t="s">
        <v>516</v>
      </c>
    </row>
    <row r="4">
      <c r="A4" s="1"/>
      <c r="B4" s="1"/>
      <c r="C4" s="1"/>
      <c r="D4" s="1"/>
      <c r="E4" s="1"/>
      <c r="F4" s="1"/>
      <c r="G4" s="1"/>
      <c r="H4" s="1"/>
    </row>
    <row r="5" ht="15.0" customHeight="1">
      <c r="A5" s="1"/>
      <c r="B5" s="19" t="s">
        <v>517</v>
      </c>
      <c r="C5" s="19" t="s">
        <v>518</v>
      </c>
      <c r="D5" s="19" t="s">
        <v>519</v>
      </c>
      <c r="E5" s="19" t="s">
        <v>520</v>
      </c>
      <c r="F5" s="19" t="s">
        <v>521</v>
      </c>
      <c r="G5" s="19" t="s">
        <v>27</v>
      </c>
      <c r="H5" s="1"/>
    </row>
    <row r="6" ht="18.75" customHeight="1">
      <c r="A6" s="1"/>
      <c r="B6" s="23" t="s">
        <v>522</v>
      </c>
      <c r="C6" s="77" t="s">
        <v>523</v>
      </c>
      <c r="D6" s="93">
        <v>28.0</v>
      </c>
      <c r="E6" s="93">
        <v>3.1</v>
      </c>
      <c r="F6" s="93">
        <v>15.0</v>
      </c>
      <c r="G6" s="12" t="s">
        <v>524</v>
      </c>
      <c r="H6" s="1"/>
    </row>
    <row r="7" ht="18.75" customHeight="1">
      <c r="A7" s="1"/>
      <c r="B7" s="23" t="s">
        <v>525</v>
      </c>
      <c r="C7" s="77" t="s">
        <v>526</v>
      </c>
      <c r="D7" s="93">
        <v>24.0</v>
      </c>
      <c r="E7" s="93">
        <v>2.2</v>
      </c>
      <c r="F7" s="93">
        <v>11.5</v>
      </c>
      <c r="G7" s="12" t="s">
        <v>527</v>
      </c>
      <c r="H7" s="1"/>
    </row>
    <row r="8" ht="18.75" customHeight="1">
      <c r="A8" s="1"/>
      <c r="B8" s="23" t="s">
        <v>528</v>
      </c>
      <c r="C8" s="77" t="s">
        <v>529</v>
      </c>
      <c r="D8" s="93">
        <v>22.0</v>
      </c>
      <c r="E8" s="93">
        <v>1.7</v>
      </c>
      <c r="F8" s="93">
        <v>12.0</v>
      </c>
      <c r="G8" s="12" t="s">
        <v>530</v>
      </c>
      <c r="H8" s="1"/>
    </row>
    <row r="9" ht="36.75" customHeight="1">
      <c r="A9" s="1"/>
      <c r="B9" s="23" t="s">
        <v>531</v>
      </c>
      <c r="C9" s="77" t="s">
        <v>532</v>
      </c>
      <c r="D9" s="93">
        <v>30.0</v>
      </c>
      <c r="E9" s="93">
        <v>3.5</v>
      </c>
      <c r="F9" s="93">
        <v>22.0</v>
      </c>
      <c r="G9" s="12" t="s">
        <v>533</v>
      </c>
      <c r="H9" s="1"/>
    </row>
    <row r="10" ht="27.75" customHeight="1">
      <c r="A10" s="1"/>
      <c r="B10" s="23" t="s">
        <v>534</v>
      </c>
      <c r="C10" s="77" t="s">
        <v>535</v>
      </c>
      <c r="D10" s="93">
        <v>35.0</v>
      </c>
      <c r="E10" s="93">
        <v>12.0</v>
      </c>
      <c r="F10" s="93">
        <v>28.0</v>
      </c>
      <c r="G10" s="12" t="s">
        <v>536</v>
      </c>
      <c r="H10" s="1"/>
    </row>
    <row r="11" ht="18.75" customHeight="1">
      <c r="A11" s="1"/>
      <c r="B11" s="23" t="s">
        <v>537</v>
      </c>
      <c r="C11" s="77" t="s">
        <v>538</v>
      </c>
      <c r="D11" s="93">
        <v>40.0</v>
      </c>
      <c r="E11" s="93">
        <v>1.3</v>
      </c>
      <c r="F11" s="93">
        <v>18.0</v>
      </c>
      <c r="G11" s="12" t="s">
        <v>539</v>
      </c>
      <c r="H11" s="1"/>
    </row>
    <row r="12" ht="27.75" customHeight="1">
      <c r="A12" s="1"/>
      <c r="B12" s="94" t="s">
        <v>540</v>
      </c>
      <c r="C12" s="8"/>
      <c r="D12" s="95">
        <f t="shared" ref="D12:F12" si="1">MEDIAN(D6:D11)</f>
        <v>29</v>
      </c>
      <c r="E12" s="95">
        <f t="shared" si="1"/>
        <v>2.65</v>
      </c>
      <c r="F12" s="95">
        <f t="shared" si="1"/>
        <v>16.5</v>
      </c>
      <c r="G12" s="96" t="s">
        <v>541</v>
      </c>
      <c r="H12" s="1"/>
    </row>
    <row r="13">
      <c r="A13" s="1"/>
      <c r="B13" s="1"/>
      <c r="C13" s="1"/>
      <c r="D13" s="1"/>
      <c r="E13" s="1"/>
      <c r="F13" s="1"/>
      <c r="G13" s="1"/>
      <c r="H13" s="1"/>
    </row>
    <row r="14" ht="15.0" customHeight="1">
      <c r="A14" s="1"/>
      <c r="B14" s="6" t="s">
        <v>542</v>
      </c>
      <c r="C14" s="8"/>
      <c r="D14" s="8"/>
      <c r="E14" s="8"/>
      <c r="F14" s="8"/>
      <c r="G14" s="8"/>
      <c r="H14" s="8"/>
    </row>
    <row r="15" ht="15.0" customHeight="1">
      <c r="A15" s="1"/>
      <c r="B15" s="16" t="s">
        <v>543</v>
      </c>
      <c r="C15" s="19" t="s">
        <v>544</v>
      </c>
      <c r="D15" s="19" t="s">
        <v>545</v>
      </c>
      <c r="E15" s="19" t="s">
        <v>546</v>
      </c>
      <c r="F15" s="13" t="s">
        <v>547</v>
      </c>
      <c r="G15" s="14"/>
      <c r="H15" s="97"/>
    </row>
    <row r="16" ht="15.0" customHeight="1">
      <c r="A16" s="1"/>
      <c r="B16" s="23" t="s">
        <v>548</v>
      </c>
      <c r="C16" s="98">
        <f>(DATOS!I25*4/3)</f>
        <v>11.49333333</v>
      </c>
      <c r="D16" s="99">
        <f>D12</f>
        <v>29</v>
      </c>
      <c r="E16" s="79">
        <f>(DATOS!I25*4/3)*D12/DATOS!I28</f>
        <v>13.83015214</v>
      </c>
      <c r="F16" s="100" t="s">
        <v>549</v>
      </c>
      <c r="G16" s="14"/>
      <c r="H16" s="14"/>
    </row>
    <row r="17" ht="15.0" customHeight="1">
      <c r="A17" s="1"/>
      <c r="B17" s="23" t="s">
        <v>550</v>
      </c>
      <c r="C17" s="98">
        <f>DATOS!G47</f>
        <v>151.58</v>
      </c>
      <c r="D17" s="99">
        <f>E12</f>
        <v>2.65</v>
      </c>
      <c r="E17" s="79">
        <f>DATOS!G47*E12/DATOS!I28</f>
        <v>16.66751037</v>
      </c>
      <c r="F17" s="100" t="s">
        <v>551</v>
      </c>
      <c r="G17" s="14"/>
      <c r="H17" s="14"/>
    </row>
    <row r="18" ht="15.0" customHeight="1">
      <c r="A18" s="1"/>
      <c r="B18" s="23" t="s">
        <v>552</v>
      </c>
      <c r="C18" s="98">
        <f>DATOS!E26</f>
        <v>20.2</v>
      </c>
      <c r="D18" s="99">
        <f>F12</f>
        <v>16.5</v>
      </c>
      <c r="E18" s="79">
        <f>(DATOS!E26*F12+DATOS!G30-DATOS!G45)/DATOS!I28</f>
        <v>13.59419087</v>
      </c>
      <c r="F18" s="100" t="s">
        <v>553</v>
      </c>
      <c r="G18" s="14"/>
      <c r="H18" s="14"/>
    </row>
    <row r="19" ht="15.0" customHeight="1">
      <c r="A19" s="1"/>
      <c r="B19" s="62" t="s">
        <v>554</v>
      </c>
      <c r="C19" s="101"/>
      <c r="D19" s="101"/>
      <c r="E19" s="102">
        <f>AVERAGE(E16:E18)</f>
        <v>14.69728446</v>
      </c>
      <c r="F19" s="100" t="s">
        <v>555</v>
      </c>
      <c r="G19" s="14"/>
      <c r="H19" s="14"/>
    </row>
    <row r="20">
      <c r="A20" s="1"/>
      <c r="B20" s="1"/>
      <c r="C20" s="1"/>
      <c r="D20" s="1"/>
      <c r="E20" s="1"/>
      <c r="F20" s="1"/>
      <c r="G20" s="1"/>
      <c r="H20" s="1"/>
    </row>
    <row r="21" ht="15.0" customHeight="1">
      <c r="A21" s="1"/>
      <c r="B21" s="103" t="s">
        <v>556</v>
      </c>
      <c r="C21" s="14"/>
      <c r="D21" s="15"/>
      <c r="E21" s="104">
        <f>DATOS!I55</f>
        <v>10</v>
      </c>
      <c r="F21" s="1"/>
      <c r="G21" s="1"/>
      <c r="H21" s="1"/>
    </row>
    <row r="22" ht="15.75" customHeight="1">
      <c r="A22" s="1"/>
      <c r="B22" s="1"/>
      <c r="C22" s="1"/>
      <c r="D22" s="1"/>
      <c r="E22" s="1"/>
      <c r="F22" s="1"/>
      <c r="G22" s="1"/>
      <c r="H22" s="1"/>
    </row>
    <row r="23" ht="55.5" customHeight="1">
      <c r="A23" s="1"/>
      <c r="B23" s="47" t="s">
        <v>557</v>
      </c>
    </row>
    <row r="24" ht="15.75" customHeight="1">
      <c r="A24" s="1"/>
      <c r="B24" s="1"/>
      <c r="C24" s="1"/>
      <c r="D24" s="1"/>
      <c r="E24" s="1"/>
      <c r="F24" s="1"/>
      <c r="G24" s="1"/>
      <c r="H24" s="1"/>
    </row>
    <row r="25" ht="15.75" customHeight="1">
      <c r="A25" s="1"/>
      <c r="B25" s="1"/>
      <c r="C25" s="1"/>
      <c r="D25" s="1"/>
      <c r="E25" s="1"/>
      <c r="F25" s="1"/>
      <c r="G25" s="1"/>
      <c r="H25" s="1"/>
    </row>
    <row r="26" ht="15.75" customHeight="1">
      <c r="A26" s="1"/>
      <c r="B26" s="1"/>
      <c r="C26" s="1"/>
      <c r="D26" s="1"/>
      <c r="E26" s="1"/>
      <c r="F26" s="1"/>
      <c r="G26" s="1"/>
      <c r="H26" s="1"/>
    </row>
    <row r="27" ht="15.75" customHeight="1">
      <c r="A27" s="1"/>
      <c r="B27" s="1"/>
      <c r="C27" s="1"/>
      <c r="D27" s="1"/>
      <c r="E27" s="1"/>
      <c r="F27" s="1"/>
      <c r="G27" s="1"/>
      <c r="H27" s="1"/>
    </row>
    <row r="28" ht="15.75" customHeight="1">
      <c r="A28" s="1"/>
      <c r="B28" s="1"/>
      <c r="C28" s="1"/>
      <c r="D28" s="1"/>
      <c r="E28" s="1"/>
      <c r="F28" s="1"/>
      <c r="G28" s="1"/>
      <c r="H28" s="1"/>
    </row>
    <row r="29" ht="15.75" customHeight="1">
      <c r="A29" s="1"/>
      <c r="B29" s="1"/>
      <c r="C29" s="1"/>
      <c r="D29" s="1"/>
      <c r="E29" s="1"/>
      <c r="F29" s="1"/>
      <c r="G29" s="1"/>
      <c r="H29" s="1"/>
    </row>
    <row r="30" ht="15.75" customHeight="1">
      <c r="A30" s="1"/>
      <c r="B30" s="1"/>
      <c r="C30" s="1"/>
      <c r="D30" s="1"/>
      <c r="E30" s="1"/>
      <c r="F30" s="1"/>
      <c r="G30" s="1"/>
      <c r="H30" s="1"/>
    </row>
    <row r="31" ht="15.75" customHeight="1">
      <c r="A31" s="1"/>
      <c r="B31" s="1"/>
      <c r="C31" s="1"/>
      <c r="D31" s="1"/>
      <c r="E31" s="1"/>
      <c r="F31" s="1"/>
      <c r="G31" s="1"/>
      <c r="H31" s="1"/>
    </row>
    <row r="32" ht="15.75" customHeight="1">
      <c r="A32" s="1"/>
      <c r="B32" s="1"/>
      <c r="C32" s="1"/>
      <c r="D32" s="1"/>
      <c r="E32" s="1"/>
      <c r="F32" s="1"/>
      <c r="G32" s="1"/>
      <c r="H32" s="1"/>
    </row>
    <row r="33" ht="15.75" customHeight="1">
      <c r="A33" s="1"/>
      <c r="B33" s="1"/>
      <c r="C33" s="1"/>
      <c r="D33" s="1"/>
      <c r="E33" s="1"/>
      <c r="F33" s="1"/>
      <c r="G33" s="1"/>
      <c r="H33" s="1"/>
    </row>
    <row r="34" ht="15.75" customHeight="1">
      <c r="A34" s="1"/>
      <c r="B34" s="1"/>
      <c r="C34" s="1"/>
      <c r="D34" s="1"/>
      <c r="E34" s="1"/>
      <c r="F34" s="1"/>
      <c r="G34" s="1"/>
      <c r="H34" s="1"/>
    </row>
    <row r="35" ht="15.75" customHeight="1">
      <c r="A35" s="1"/>
      <c r="B35" s="1"/>
      <c r="C35" s="1"/>
      <c r="D35" s="1"/>
      <c r="E35" s="1"/>
      <c r="F35" s="1"/>
      <c r="G35" s="1"/>
      <c r="H35" s="1"/>
    </row>
    <row r="36" ht="15.75" customHeight="1">
      <c r="A36" s="1"/>
      <c r="B36" s="1"/>
      <c r="C36" s="1"/>
      <c r="D36" s="1"/>
      <c r="E36" s="1"/>
      <c r="F36" s="1"/>
      <c r="G36" s="1"/>
      <c r="H36" s="1"/>
    </row>
    <row r="37" ht="15.75" customHeight="1">
      <c r="A37" s="1"/>
      <c r="B37" s="1"/>
      <c r="C37" s="1"/>
      <c r="D37" s="1"/>
      <c r="E37" s="1"/>
      <c r="F37" s="1"/>
      <c r="G37" s="1"/>
      <c r="H37" s="1"/>
    </row>
    <row r="38" ht="15.75" customHeight="1">
      <c r="A38" s="1"/>
      <c r="B38" s="1"/>
      <c r="C38" s="1"/>
      <c r="D38" s="1"/>
      <c r="E38" s="1"/>
      <c r="F38" s="1"/>
      <c r="G38" s="1"/>
      <c r="H38" s="1"/>
    </row>
    <row r="39" ht="15.75" customHeight="1">
      <c r="A39" s="1"/>
      <c r="B39" s="1"/>
      <c r="C39" s="1"/>
      <c r="D39" s="1"/>
      <c r="E39" s="1"/>
      <c r="F39" s="1"/>
      <c r="G39" s="1"/>
      <c r="H39" s="1"/>
    </row>
    <row r="40" ht="15.75" customHeight="1">
      <c r="A40" s="1"/>
      <c r="B40" s="1"/>
      <c r="C40" s="1"/>
      <c r="D40" s="1"/>
      <c r="E40" s="1"/>
      <c r="F40" s="1"/>
      <c r="G40" s="1"/>
      <c r="H40" s="1"/>
    </row>
    <row r="41" ht="15.75" customHeight="1">
      <c r="A41" s="1"/>
      <c r="B41" s="1"/>
      <c r="C41" s="1"/>
      <c r="D41" s="1"/>
      <c r="E41" s="1"/>
      <c r="F41" s="1"/>
      <c r="G41" s="1"/>
      <c r="H41" s="1"/>
    </row>
    <row r="42" ht="15.75" customHeight="1">
      <c r="A42" s="1"/>
      <c r="B42" s="1"/>
      <c r="C42" s="1"/>
      <c r="D42" s="1"/>
      <c r="E42" s="1"/>
      <c r="F42" s="1"/>
      <c r="G42" s="1"/>
      <c r="H42" s="1"/>
    </row>
    <row r="43" ht="15.75" customHeight="1">
      <c r="A43" s="1"/>
      <c r="B43" s="1"/>
      <c r="C43" s="1"/>
      <c r="D43" s="1"/>
      <c r="E43" s="1"/>
      <c r="F43" s="1"/>
      <c r="G43" s="1"/>
      <c r="H43" s="1"/>
    </row>
    <row r="44" ht="15.75" customHeight="1">
      <c r="A44" s="1"/>
      <c r="B44" s="1"/>
      <c r="C44" s="1"/>
      <c r="D44" s="1"/>
      <c r="E44" s="1"/>
      <c r="F44" s="1"/>
      <c r="G44" s="1"/>
      <c r="H44" s="1"/>
    </row>
    <row r="45" ht="15.75" customHeight="1">
      <c r="A45" s="1"/>
      <c r="B45" s="1"/>
      <c r="C45" s="1"/>
      <c r="D45" s="1"/>
      <c r="E45" s="1"/>
      <c r="F45" s="1"/>
      <c r="G45" s="1"/>
      <c r="H45" s="1"/>
    </row>
    <row r="46" ht="15.75" customHeight="1">
      <c r="A46" s="1"/>
      <c r="B46" s="1"/>
      <c r="C46" s="1"/>
      <c r="D46" s="1"/>
      <c r="E46" s="1"/>
      <c r="F46" s="1"/>
      <c r="G46" s="1"/>
      <c r="H46" s="1"/>
    </row>
    <row r="47" ht="15.75" customHeight="1">
      <c r="A47" s="1"/>
      <c r="B47" s="1"/>
      <c r="C47" s="1"/>
      <c r="D47" s="1"/>
      <c r="E47" s="1"/>
      <c r="F47" s="1"/>
      <c r="G47" s="1"/>
      <c r="H47" s="1"/>
    </row>
    <row r="48" ht="15.75" customHeight="1">
      <c r="A48" s="1"/>
      <c r="B48" s="1"/>
      <c r="C48" s="1"/>
      <c r="D48" s="1"/>
      <c r="E48" s="1"/>
      <c r="F48" s="1"/>
      <c r="G48" s="1"/>
      <c r="H48" s="1"/>
    </row>
    <row r="49" ht="15.75" customHeight="1">
      <c r="A49" s="1"/>
      <c r="B49" s="1"/>
      <c r="C49" s="1"/>
      <c r="D49" s="1"/>
      <c r="E49" s="1"/>
      <c r="F49" s="1"/>
      <c r="G49" s="1"/>
      <c r="H49" s="1"/>
    </row>
    <row r="50" ht="15.75" customHeight="1">
      <c r="A50" s="1"/>
      <c r="B50" s="1"/>
      <c r="C50" s="1"/>
      <c r="D50" s="1"/>
      <c r="E50" s="1"/>
      <c r="F50" s="1"/>
      <c r="G50" s="1"/>
      <c r="H50" s="1"/>
    </row>
    <row r="51" ht="15.75" customHeight="1">
      <c r="A51" s="1"/>
      <c r="B51" s="1"/>
      <c r="C51" s="1"/>
      <c r="D51" s="1"/>
      <c r="E51" s="1"/>
      <c r="F51" s="1"/>
      <c r="G51" s="1"/>
      <c r="H51" s="1"/>
    </row>
    <row r="52" ht="15.75" customHeight="1">
      <c r="A52" s="1"/>
      <c r="B52" s="1"/>
      <c r="C52" s="1"/>
      <c r="D52" s="1"/>
      <c r="E52" s="1"/>
      <c r="F52" s="1"/>
      <c r="G52" s="1"/>
      <c r="H52" s="1"/>
    </row>
    <row r="53" ht="15.75" customHeight="1">
      <c r="A53" s="1"/>
      <c r="B53" s="1"/>
      <c r="C53" s="1"/>
      <c r="D53" s="1"/>
      <c r="E53" s="1"/>
      <c r="F53" s="1"/>
      <c r="G53" s="1"/>
      <c r="H53" s="1"/>
    </row>
    <row r="54" ht="15.75" customHeight="1">
      <c r="A54" s="1"/>
      <c r="B54" s="1"/>
      <c r="C54" s="1"/>
      <c r="D54" s="1"/>
      <c r="E54" s="1"/>
      <c r="F54" s="1"/>
      <c r="G54" s="1"/>
      <c r="H54" s="1"/>
    </row>
    <row r="55" ht="15.75" customHeight="1">
      <c r="A55" s="1"/>
      <c r="B55" s="1"/>
      <c r="C55" s="1"/>
      <c r="D55" s="1"/>
      <c r="E55" s="1"/>
      <c r="F55" s="1"/>
      <c r="G55" s="1"/>
      <c r="H55" s="1"/>
    </row>
    <row r="56" ht="15.75" customHeight="1">
      <c r="A56" s="1"/>
      <c r="B56" s="1"/>
      <c r="C56" s="1"/>
      <c r="D56" s="1"/>
      <c r="E56" s="1"/>
      <c r="F56" s="1"/>
      <c r="G56" s="1"/>
      <c r="H56" s="1"/>
    </row>
    <row r="57" ht="15.75" customHeight="1">
      <c r="A57" s="1"/>
      <c r="B57" s="1"/>
      <c r="C57" s="1"/>
      <c r="D57" s="1"/>
      <c r="E57" s="1"/>
      <c r="F57" s="1"/>
      <c r="G57" s="1"/>
      <c r="H57" s="1"/>
    </row>
    <row r="58" ht="15.75" customHeight="1">
      <c r="A58" s="1"/>
      <c r="B58" s="1"/>
      <c r="C58" s="1"/>
      <c r="D58" s="1"/>
      <c r="E58" s="1"/>
      <c r="F58" s="1"/>
      <c r="G58" s="1"/>
      <c r="H58" s="1"/>
    </row>
    <row r="59" ht="15.75" customHeight="1">
      <c r="A59" s="1"/>
      <c r="B59" s="1"/>
      <c r="C59" s="1"/>
      <c r="D59" s="1"/>
      <c r="E59" s="1"/>
      <c r="F59" s="1"/>
      <c r="G59" s="1"/>
      <c r="H59" s="1"/>
    </row>
    <row r="60" ht="15.75" customHeight="1">
      <c r="A60" s="1"/>
      <c r="B60" s="1"/>
      <c r="C60" s="1"/>
      <c r="D60" s="1"/>
      <c r="E60" s="1"/>
      <c r="F60" s="1"/>
      <c r="G60" s="1"/>
      <c r="H60" s="1"/>
    </row>
    <row r="61" ht="15.75" customHeight="1">
      <c r="A61" s="1"/>
      <c r="B61" s="1"/>
      <c r="C61" s="1"/>
      <c r="D61" s="1"/>
      <c r="E61" s="1"/>
      <c r="F61" s="1"/>
      <c r="G61" s="1"/>
      <c r="H61" s="1"/>
    </row>
    <row r="62" ht="15.75" customHeight="1">
      <c r="A62" s="1"/>
      <c r="B62" s="1"/>
      <c r="C62" s="1"/>
      <c r="D62" s="1"/>
      <c r="E62" s="1"/>
      <c r="F62" s="1"/>
      <c r="G62" s="1"/>
      <c r="H62" s="1"/>
    </row>
    <row r="63" ht="15.75" customHeight="1">
      <c r="A63" s="1"/>
      <c r="B63" s="1"/>
      <c r="C63" s="1"/>
      <c r="D63" s="1"/>
      <c r="E63" s="1"/>
      <c r="F63" s="1"/>
      <c r="G63" s="1"/>
      <c r="H63" s="1"/>
    </row>
    <row r="64" ht="15.75" customHeight="1">
      <c r="A64" s="1"/>
      <c r="B64" s="1"/>
      <c r="C64" s="1"/>
      <c r="D64" s="1"/>
      <c r="E64" s="1"/>
      <c r="F64" s="1"/>
      <c r="G64" s="1"/>
      <c r="H64" s="1"/>
    </row>
    <row r="65" ht="15.75" customHeight="1">
      <c r="A65" s="1"/>
      <c r="B65" s="1"/>
      <c r="C65" s="1"/>
      <c r="D65" s="1"/>
      <c r="E65" s="1"/>
      <c r="F65" s="1"/>
      <c r="G65" s="1"/>
      <c r="H65" s="1"/>
    </row>
    <row r="66" ht="15.75" customHeight="1">
      <c r="A66" s="1"/>
      <c r="B66" s="1"/>
      <c r="C66" s="1"/>
      <c r="D66" s="1"/>
      <c r="E66" s="1"/>
      <c r="F66" s="1"/>
      <c r="G66" s="1"/>
      <c r="H66" s="1"/>
    </row>
    <row r="67" ht="15.75" customHeight="1">
      <c r="A67" s="1"/>
      <c r="B67" s="1"/>
      <c r="C67" s="1"/>
      <c r="D67" s="1"/>
      <c r="E67" s="1"/>
      <c r="F67" s="1"/>
      <c r="G67" s="1"/>
      <c r="H67" s="1"/>
    </row>
    <row r="68" ht="15.75" customHeight="1">
      <c r="A68" s="1"/>
      <c r="B68" s="1"/>
      <c r="C68" s="1"/>
      <c r="D68" s="1"/>
      <c r="E68" s="1"/>
      <c r="F68" s="1"/>
      <c r="G68" s="1"/>
      <c r="H68" s="1"/>
    </row>
    <row r="69" ht="15.75" customHeight="1">
      <c r="A69" s="1"/>
      <c r="B69" s="1"/>
      <c r="C69" s="1"/>
      <c r="D69" s="1"/>
      <c r="E69" s="1"/>
      <c r="F69" s="1"/>
      <c r="G69" s="1"/>
      <c r="H69" s="1"/>
    </row>
    <row r="70" ht="15.75" customHeight="1">
      <c r="A70" s="1"/>
      <c r="B70" s="1"/>
      <c r="C70" s="1"/>
      <c r="D70" s="1"/>
      <c r="E70" s="1"/>
      <c r="F70" s="1"/>
      <c r="G70" s="1"/>
      <c r="H70" s="1"/>
    </row>
    <row r="71" ht="15.75" customHeight="1">
      <c r="A71" s="1"/>
      <c r="B71" s="1"/>
      <c r="C71" s="1"/>
      <c r="D71" s="1"/>
      <c r="E71" s="1"/>
      <c r="F71" s="1"/>
      <c r="G71" s="1"/>
      <c r="H71" s="1"/>
    </row>
    <row r="72" ht="15.75" customHeight="1">
      <c r="A72" s="1"/>
      <c r="B72" s="1"/>
      <c r="C72" s="1"/>
      <c r="D72" s="1"/>
      <c r="E72" s="1"/>
      <c r="F72" s="1"/>
      <c r="G72" s="1"/>
      <c r="H72" s="1"/>
    </row>
    <row r="73" ht="15.75" customHeight="1">
      <c r="A73" s="1"/>
      <c r="B73" s="1"/>
      <c r="C73" s="1"/>
      <c r="D73" s="1"/>
      <c r="E73" s="1"/>
      <c r="F73" s="1"/>
      <c r="G73" s="1"/>
      <c r="H73" s="1"/>
    </row>
    <row r="74" ht="15.75" customHeight="1">
      <c r="A74" s="1"/>
      <c r="B74" s="1"/>
      <c r="C74" s="1"/>
      <c r="D74" s="1"/>
      <c r="E74" s="1"/>
      <c r="F74" s="1"/>
      <c r="G74" s="1"/>
      <c r="H74" s="1"/>
    </row>
    <row r="75" ht="15.75" customHeight="1">
      <c r="A75" s="1"/>
      <c r="B75" s="1"/>
      <c r="C75" s="1"/>
      <c r="D75" s="1"/>
      <c r="E75" s="1"/>
      <c r="F75" s="1"/>
      <c r="G75" s="1"/>
      <c r="H75" s="1"/>
    </row>
    <row r="76" ht="15.75" customHeight="1">
      <c r="A76" s="1"/>
      <c r="B76" s="1"/>
      <c r="C76" s="1"/>
      <c r="D76" s="1"/>
      <c r="E76" s="1"/>
      <c r="F76" s="1"/>
      <c r="G76" s="1"/>
      <c r="H76" s="1"/>
    </row>
    <row r="77" ht="15.75" customHeight="1">
      <c r="A77" s="1"/>
      <c r="B77" s="1"/>
      <c r="C77" s="1"/>
      <c r="D77" s="1"/>
      <c r="E77" s="1"/>
      <c r="F77" s="1"/>
      <c r="G77" s="1"/>
      <c r="H77" s="1"/>
    </row>
    <row r="78" ht="15.75" customHeight="1">
      <c r="A78" s="1"/>
      <c r="B78" s="1"/>
      <c r="C78" s="1"/>
      <c r="D78" s="1"/>
      <c r="E78" s="1"/>
      <c r="F78" s="1"/>
      <c r="G78" s="1"/>
      <c r="H78" s="1"/>
    </row>
    <row r="79" ht="15.75" customHeight="1">
      <c r="A79" s="1"/>
      <c r="B79" s="1"/>
      <c r="C79" s="1"/>
      <c r="D79" s="1"/>
      <c r="E79" s="1"/>
      <c r="F79" s="1"/>
      <c r="G79" s="1"/>
      <c r="H79" s="1"/>
    </row>
    <row r="80" ht="15.75" customHeight="1">
      <c r="A80" s="1"/>
      <c r="B80" s="1"/>
      <c r="C80" s="1"/>
      <c r="D80" s="1"/>
      <c r="E80" s="1"/>
      <c r="F80" s="1"/>
      <c r="G80" s="1"/>
      <c r="H80" s="1"/>
    </row>
    <row r="81" ht="15.75" customHeight="1">
      <c r="A81" s="1"/>
      <c r="B81" s="1"/>
      <c r="C81" s="1"/>
      <c r="D81" s="1"/>
      <c r="E81" s="1"/>
      <c r="F81" s="1"/>
      <c r="G81" s="1"/>
      <c r="H81" s="1"/>
    </row>
    <row r="82" ht="15.75" customHeight="1">
      <c r="A82" s="1"/>
      <c r="B82" s="1"/>
      <c r="C82" s="1"/>
      <c r="D82" s="1"/>
      <c r="E82" s="1"/>
      <c r="F82" s="1"/>
      <c r="G82" s="1"/>
      <c r="H82" s="1"/>
    </row>
    <row r="83" ht="15.75" customHeight="1">
      <c r="A83" s="1"/>
      <c r="B83" s="1"/>
      <c r="C83" s="1"/>
      <c r="D83" s="1"/>
      <c r="E83" s="1"/>
      <c r="F83" s="1"/>
      <c r="G83" s="1"/>
      <c r="H83" s="1"/>
    </row>
    <row r="84" ht="15.75" customHeight="1">
      <c r="A84" s="1"/>
      <c r="B84" s="1"/>
      <c r="C84" s="1"/>
      <c r="D84" s="1"/>
      <c r="E84" s="1"/>
      <c r="F84" s="1"/>
      <c r="G84" s="1"/>
      <c r="H84" s="1"/>
    </row>
    <row r="85" ht="15.75" customHeight="1">
      <c r="A85" s="1"/>
      <c r="B85" s="1"/>
      <c r="C85" s="1"/>
      <c r="D85" s="1"/>
      <c r="E85" s="1"/>
      <c r="F85" s="1"/>
      <c r="G85" s="1"/>
      <c r="H85" s="1"/>
    </row>
    <row r="86" ht="15.75" customHeight="1">
      <c r="A86" s="1"/>
      <c r="B86" s="1"/>
      <c r="C86" s="1"/>
      <c r="D86" s="1"/>
      <c r="E86" s="1"/>
      <c r="F86" s="1"/>
      <c r="G86" s="1"/>
      <c r="H86" s="1"/>
    </row>
    <row r="87" ht="15.75" customHeight="1">
      <c r="A87" s="1"/>
      <c r="B87" s="1"/>
      <c r="C87" s="1"/>
      <c r="D87" s="1"/>
      <c r="E87" s="1"/>
      <c r="F87" s="1"/>
      <c r="G87" s="1"/>
      <c r="H87" s="1"/>
    </row>
    <row r="88" ht="15.75" customHeight="1">
      <c r="A88" s="1"/>
      <c r="B88" s="1"/>
      <c r="C88" s="1"/>
      <c r="D88" s="1"/>
      <c r="E88" s="1"/>
      <c r="F88" s="1"/>
      <c r="G88" s="1"/>
      <c r="H88" s="1"/>
    </row>
    <row r="89" ht="15.75" customHeight="1">
      <c r="A89" s="1"/>
      <c r="B89" s="1"/>
      <c r="C89" s="1"/>
      <c r="D89" s="1"/>
      <c r="E89" s="1"/>
      <c r="F89" s="1"/>
      <c r="G89" s="1"/>
      <c r="H89" s="1"/>
    </row>
    <row r="90" ht="15.75" customHeight="1">
      <c r="A90" s="1"/>
      <c r="B90" s="1"/>
      <c r="C90" s="1"/>
      <c r="D90" s="1"/>
      <c r="E90" s="1"/>
      <c r="F90" s="1"/>
      <c r="G90" s="1"/>
      <c r="H90" s="1"/>
    </row>
    <row r="91" ht="15.75" customHeight="1">
      <c r="A91" s="1"/>
      <c r="B91" s="1"/>
      <c r="C91" s="1"/>
      <c r="D91" s="1"/>
      <c r="E91" s="1"/>
      <c r="F91" s="1"/>
      <c r="G91" s="1"/>
      <c r="H91" s="1"/>
    </row>
    <row r="92" ht="15.75" customHeight="1">
      <c r="A92" s="1"/>
      <c r="B92" s="1"/>
      <c r="C92" s="1"/>
      <c r="D92" s="1"/>
      <c r="E92" s="1"/>
      <c r="F92" s="1"/>
      <c r="G92" s="1"/>
      <c r="H92" s="1"/>
    </row>
    <row r="93" ht="15.75" customHeight="1">
      <c r="A93" s="1"/>
      <c r="B93" s="1"/>
      <c r="C93" s="1"/>
      <c r="D93" s="1"/>
      <c r="E93" s="1"/>
      <c r="F93" s="1"/>
      <c r="G93" s="1"/>
      <c r="H93" s="1"/>
    </row>
    <row r="94" ht="15.75" customHeight="1">
      <c r="A94" s="1"/>
      <c r="B94" s="1"/>
      <c r="C94" s="1"/>
      <c r="D94" s="1"/>
      <c r="E94" s="1"/>
      <c r="F94" s="1"/>
      <c r="G94" s="1"/>
      <c r="H94" s="1"/>
    </row>
    <row r="95" ht="15.75" customHeight="1">
      <c r="A95" s="1"/>
      <c r="B95" s="1"/>
      <c r="C95" s="1"/>
      <c r="D95" s="1"/>
      <c r="E95" s="1"/>
      <c r="F95" s="1"/>
      <c r="G95" s="1"/>
      <c r="H95" s="1"/>
    </row>
    <row r="96" ht="15.75" customHeight="1">
      <c r="A96" s="1"/>
      <c r="B96" s="1"/>
      <c r="C96" s="1"/>
      <c r="D96" s="1"/>
      <c r="E96" s="1"/>
      <c r="F96" s="1"/>
      <c r="G96" s="1"/>
      <c r="H96" s="1"/>
    </row>
    <row r="97" ht="15.75" customHeight="1">
      <c r="A97" s="1"/>
      <c r="B97" s="1"/>
      <c r="C97" s="1"/>
      <c r="D97" s="1"/>
      <c r="E97" s="1"/>
      <c r="F97" s="1"/>
      <c r="G97" s="1"/>
      <c r="H97" s="1"/>
    </row>
    <row r="98" ht="15.75" customHeight="1">
      <c r="A98" s="1"/>
      <c r="B98" s="1"/>
      <c r="C98" s="1"/>
      <c r="D98" s="1"/>
      <c r="E98" s="1"/>
      <c r="F98" s="1"/>
      <c r="G98" s="1"/>
      <c r="H98" s="1"/>
    </row>
    <row r="99" ht="15.75" customHeight="1">
      <c r="A99" s="1"/>
      <c r="B99" s="1"/>
      <c r="C99" s="1"/>
      <c r="D99" s="1"/>
      <c r="E99" s="1"/>
      <c r="F99" s="1"/>
      <c r="G99" s="1"/>
      <c r="H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</row>
  </sheetData>
  <mergeCells count="9">
    <mergeCell ref="B21:D21"/>
    <mergeCell ref="B23:H23"/>
    <mergeCell ref="B2:H2"/>
    <mergeCell ref="B3:H3"/>
    <mergeCell ref="F15:H15"/>
    <mergeCell ref="F16:H16"/>
    <mergeCell ref="F17:H17"/>
    <mergeCell ref="F18:H18"/>
    <mergeCell ref="F19:H19"/>
  </mergeCells>
  <printOptions/>
  <pageMargins bottom="1.0" footer="0.0" header="0.0" left="0.75" right="0.75" top="1.0"/>
  <pageSetup paperSize="9" orientation="portrait"/>
  <drawing r:id="rId1"/>
</worksheet>
</file>